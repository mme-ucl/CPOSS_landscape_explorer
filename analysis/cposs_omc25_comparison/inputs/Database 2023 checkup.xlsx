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lspri\Dropbox\PriceGroup\DatabaseUpdate\"/>
    </mc:Choice>
  </mc:AlternateContent>
  <xr:revisionPtr revIDLastSave="0" documentId="13_ncr:1_{58B7C69C-1641-41BA-95DB-3FA1FE85A6A0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Database" sheetId="1" r:id="rId1"/>
    <sheet name="Sheet1" sheetId="7" r:id="rId2"/>
    <sheet name="ProgressChart" sheetId="6" r:id="rId3"/>
    <sheet name="Progress" sheetId="5" r:id="rId4"/>
  </sheets>
  <definedNames>
    <definedName name="_xlnm._FilterDatabase" localSheetId="0" hidden="1">Database!$A$1:$AK$555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10" i="1"/>
  <c r="AN11" i="1"/>
  <c r="AN14" i="1"/>
  <c r="AN15" i="1"/>
  <c r="AN19" i="1"/>
  <c r="AN21" i="1"/>
  <c r="AN26" i="1"/>
  <c r="AN28" i="1"/>
  <c r="AN29" i="1"/>
  <c r="AN30" i="1"/>
  <c r="AN32" i="1"/>
  <c r="AN33" i="1"/>
  <c r="AN34" i="1"/>
  <c r="AN35" i="1"/>
  <c r="AN37" i="1"/>
  <c r="AN39" i="1"/>
  <c r="AN40" i="1"/>
  <c r="AN41" i="1"/>
  <c r="AN42" i="1"/>
  <c r="AN47" i="1"/>
  <c r="AN51" i="1"/>
  <c r="AN52" i="1"/>
  <c r="AN53" i="1"/>
  <c r="AN56" i="1"/>
  <c r="AN57" i="1"/>
  <c r="AN58" i="1"/>
  <c r="AN60" i="1"/>
  <c r="AN63" i="1"/>
  <c r="AN64" i="1"/>
  <c r="AN66" i="1"/>
  <c r="AN67" i="1"/>
  <c r="AN68" i="1"/>
  <c r="AN69" i="1"/>
  <c r="AN72" i="1"/>
  <c r="AN73" i="1"/>
  <c r="AN79" i="1"/>
  <c r="AN80" i="1"/>
  <c r="AN82" i="1"/>
  <c r="AN83" i="1"/>
  <c r="AN91" i="1"/>
  <c r="AN92" i="1"/>
  <c r="AN93" i="1"/>
  <c r="AN94" i="1"/>
  <c r="AN96" i="1"/>
  <c r="AN100" i="1"/>
  <c r="AN101" i="1"/>
  <c r="AN105" i="1"/>
  <c r="AN107" i="1"/>
  <c r="AN108" i="1"/>
  <c r="AN111" i="1"/>
  <c r="AN112" i="1"/>
  <c r="AN115" i="1"/>
  <c r="AN117" i="1"/>
  <c r="AN118" i="1"/>
  <c r="AN119" i="1"/>
  <c r="AN121" i="1"/>
  <c r="AN122" i="1"/>
  <c r="AN123" i="1"/>
  <c r="AN125" i="1"/>
  <c r="AN127" i="1"/>
  <c r="AN128" i="1"/>
  <c r="AN129" i="1"/>
  <c r="AN130" i="1"/>
  <c r="AN131" i="1"/>
  <c r="AN133" i="1"/>
  <c r="AN134" i="1"/>
  <c r="AN138" i="1"/>
  <c r="AN139" i="1"/>
  <c r="AN141" i="1"/>
  <c r="AN142" i="1"/>
  <c r="AN144" i="1"/>
  <c r="AN145" i="1"/>
  <c r="AN148" i="1"/>
  <c r="AN153" i="1"/>
  <c r="AN157" i="1"/>
  <c r="AN161" i="1"/>
  <c r="AN162" i="1"/>
  <c r="AN163" i="1"/>
  <c r="AN167" i="1"/>
  <c r="AN169" i="1"/>
  <c r="AN170" i="1"/>
  <c r="AN171" i="1"/>
  <c r="AN172" i="1"/>
  <c r="AN174" i="1"/>
  <c r="AN180" i="1"/>
  <c r="AN181" i="1"/>
  <c r="AN187" i="1"/>
  <c r="AN188" i="1"/>
  <c r="AN189" i="1"/>
  <c r="AN191" i="1"/>
  <c r="AN192" i="1"/>
  <c r="AN193" i="1"/>
  <c r="AN196" i="1"/>
  <c r="AN197" i="1"/>
  <c r="AN198" i="1"/>
  <c r="AN199" i="1"/>
  <c r="AN200" i="1"/>
  <c r="AN202" i="1"/>
  <c r="AN203" i="1"/>
  <c r="AN204" i="1"/>
  <c r="AN206" i="1"/>
  <c r="AN207" i="1"/>
  <c r="AN209" i="1"/>
  <c r="AN211" i="1"/>
  <c r="AN212" i="1"/>
  <c r="AN213" i="1"/>
  <c r="AN217" i="1"/>
  <c r="AN218" i="1"/>
  <c r="AN222" i="1"/>
  <c r="AN229" i="1"/>
  <c r="AN231" i="1"/>
  <c r="AN232" i="1"/>
  <c r="AN233" i="1"/>
  <c r="AN234" i="1"/>
  <c r="AN235" i="1"/>
  <c r="AN236" i="1"/>
  <c r="AN238" i="1"/>
  <c r="AN240" i="1"/>
  <c r="AN241" i="1"/>
  <c r="AN243" i="1"/>
  <c r="AN244" i="1"/>
  <c r="AN245" i="1"/>
  <c r="AN247" i="1"/>
  <c r="AN249" i="1"/>
  <c r="AN251" i="1"/>
  <c r="AN253" i="1"/>
  <c r="AN254" i="1"/>
  <c r="AN255" i="1"/>
  <c r="AN257" i="1"/>
  <c r="AN258" i="1"/>
  <c r="AN260" i="1"/>
  <c r="AN261" i="1"/>
  <c r="AN262" i="1"/>
  <c r="AN263" i="1"/>
  <c r="AN265" i="1"/>
  <c r="AN266" i="1"/>
  <c r="AN268" i="1"/>
  <c r="AN270" i="1"/>
  <c r="AN271" i="1"/>
  <c r="AN272" i="1"/>
  <c r="AN273" i="1"/>
  <c r="AN274" i="1"/>
  <c r="AN275" i="1"/>
  <c r="AN278" i="1"/>
  <c r="AN279" i="1"/>
  <c r="AN280" i="1"/>
  <c r="AN283" i="1"/>
  <c r="AN284" i="1"/>
  <c r="AN287" i="1"/>
  <c r="AN289" i="1"/>
  <c r="AN292" i="1"/>
  <c r="AN294" i="1"/>
  <c r="AN295" i="1"/>
  <c r="AN296" i="1"/>
  <c r="AN297" i="1"/>
  <c r="AN298" i="1"/>
  <c r="AN300" i="1"/>
  <c r="AN302" i="1"/>
  <c r="AN303" i="1"/>
  <c r="AN304" i="1"/>
  <c r="AN306" i="1"/>
  <c r="AN307" i="1"/>
  <c r="AN309" i="1"/>
  <c r="AN311" i="1"/>
  <c r="AN314" i="1"/>
  <c r="AN316" i="1"/>
  <c r="AN317" i="1"/>
  <c r="AN319" i="1"/>
  <c r="AN322" i="1"/>
  <c r="AN323" i="1"/>
  <c r="AN329" i="1"/>
  <c r="AN330" i="1"/>
  <c r="AN334" i="1"/>
  <c r="AN336" i="1"/>
  <c r="AN337" i="1"/>
  <c r="AN339" i="1"/>
  <c r="AN340" i="1"/>
  <c r="AN341" i="1"/>
  <c r="AN343" i="1"/>
  <c r="AN345" i="1"/>
  <c r="AN346" i="1"/>
  <c r="AN349" i="1"/>
  <c r="AN350" i="1"/>
  <c r="AN351" i="1"/>
  <c r="AN352" i="1"/>
  <c r="AN353" i="1"/>
  <c r="AN354" i="1"/>
  <c r="AN355" i="1"/>
  <c r="AN356" i="1"/>
  <c r="AN357" i="1"/>
  <c r="AN358" i="1"/>
  <c r="AN359" i="1"/>
  <c r="AN361" i="1"/>
  <c r="AN364" i="1"/>
  <c r="AN365" i="1"/>
  <c r="AN367" i="1"/>
  <c r="AN369" i="1"/>
  <c r="AN370" i="1"/>
  <c r="AN371" i="1"/>
  <c r="AN372" i="1"/>
  <c r="AN373" i="1"/>
  <c r="AN374" i="1"/>
  <c r="AN375" i="1"/>
  <c r="AN376" i="1"/>
  <c r="AN378" i="1"/>
  <c r="AN381" i="1"/>
  <c r="AN382" i="1"/>
  <c r="AN383" i="1"/>
  <c r="AN384" i="1"/>
  <c r="AN385" i="1"/>
  <c r="AN386" i="1"/>
  <c r="AN387" i="1"/>
  <c r="AN388" i="1"/>
  <c r="AN392" i="1"/>
  <c r="AN393" i="1"/>
  <c r="AN394" i="1"/>
  <c r="AN395" i="1"/>
  <c r="AN397" i="1"/>
  <c r="AN398" i="1"/>
  <c r="AN399" i="1"/>
  <c r="AN528" i="1"/>
  <c r="AN529" i="1"/>
  <c r="AN402" i="1"/>
  <c r="AN403" i="1"/>
  <c r="AN176" i="1"/>
  <c r="AN410" i="1"/>
  <c r="AN411" i="1"/>
  <c r="AN413" i="1"/>
  <c r="AN414" i="1"/>
  <c r="AN419" i="1"/>
  <c r="AN421" i="1"/>
  <c r="AN422" i="1"/>
  <c r="AN431" i="1"/>
  <c r="AN432" i="1"/>
  <c r="AN433" i="1"/>
  <c r="AN434" i="1"/>
  <c r="AN435" i="1"/>
  <c r="AN438" i="1"/>
  <c r="AN440" i="1"/>
  <c r="AN442" i="1"/>
  <c r="AN443" i="1"/>
  <c r="AN447" i="1"/>
  <c r="AN449" i="1"/>
  <c r="AN450" i="1"/>
  <c r="AN451" i="1"/>
  <c r="AN453" i="1"/>
  <c r="AN455" i="1"/>
  <c r="AN456" i="1"/>
  <c r="AN457" i="1"/>
  <c r="AN460" i="1"/>
  <c r="AN462" i="1"/>
  <c r="AN463" i="1"/>
  <c r="AN464" i="1"/>
  <c r="AN465" i="1"/>
  <c r="AN466" i="1"/>
  <c r="AN467" i="1"/>
  <c r="AN468" i="1"/>
  <c r="AN469" i="1"/>
  <c r="AN471" i="1"/>
  <c r="AN472" i="1"/>
  <c r="AN474" i="1"/>
  <c r="AN475" i="1"/>
  <c r="AN476" i="1"/>
  <c r="AN477" i="1"/>
  <c r="AN478" i="1"/>
  <c r="AN480" i="1"/>
  <c r="AN481" i="1"/>
  <c r="AN482" i="1"/>
  <c r="AN483" i="1"/>
  <c r="AN484" i="1"/>
  <c r="AN485" i="1"/>
  <c r="AN488" i="1"/>
  <c r="AN493" i="1"/>
  <c r="AN494" i="1"/>
  <c r="AN495" i="1"/>
  <c r="AN496" i="1"/>
  <c r="AN497" i="1"/>
  <c r="AN498" i="1"/>
  <c r="AN502" i="1"/>
  <c r="AN503" i="1"/>
  <c r="AN504" i="1"/>
  <c r="AN506" i="1"/>
  <c r="AN507" i="1"/>
  <c r="AN508" i="1"/>
  <c r="AN509" i="1"/>
  <c r="AN511" i="1"/>
  <c r="AN512" i="1"/>
  <c r="AN513" i="1"/>
  <c r="AN514" i="1"/>
  <c r="AN515" i="1"/>
  <c r="AN517" i="1"/>
  <c r="AN518" i="1"/>
  <c r="AN519" i="1"/>
  <c r="AN520" i="1"/>
  <c r="AN521" i="1"/>
  <c r="AN523" i="1"/>
  <c r="AN524" i="1"/>
  <c r="AN525" i="1"/>
  <c r="AN526" i="1"/>
  <c r="AN531" i="1"/>
  <c r="AN533" i="1"/>
  <c r="AN535" i="1"/>
  <c r="AN536" i="1"/>
  <c r="AN537" i="1"/>
  <c r="AN538" i="1"/>
  <c r="AN539" i="1"/>
  <c r="AN540" i="1"/>
  <c r="AN542" i="1"/>
  <c r="AN543" i="1"/>
  <c r="AN544" i="1"/>
  <c r="AN549" i="1"/>
  <c r="AN555" i="1"/>
  <c r="AN554" i="1"/>
  <c r="AN553" i="1"/>
  <c r="AN552" i="1"/>
  <c r="AN551" i="1"/>
  <c r="AN550" i="1"/>
  <c r="AC46" i="1"/>
  <c r="AE46" i="1" s="1"/>
  <c r="AC26" i="1"/>
  <c r="AE26" i="1" s="1"/>
  <c r="AC27" i="1"/>
  <c r="AE27" i="1" s="1"/>
  <c r="AF27" i="1" s="1"/>
  <c r="AC28" i="1"/>
  <c r="AE28" i="1" s="1"/>
  <c r="AC29" i="1"/>
  <c r="AE29" i="1" s="1"/>
  <c r="AC30" i="1"/>
  <c r="AE30" i="1" s="1"/>
  <c r="AC31" i="1"/>
  <c r="AE31" i="1" s="1"/>
  <c r="AF31" i="1" s="1"/>
  <c r="AC32" i="1"/>
  <c r="AE32" i="1" s="1"/>
  <c r="AC33" i="1"/>
  <c r="AE33" i="1" s="1"/>
  <c r="AC34" i="1"/>
  <c r="AE34" i="1" s="1"/>
  <c r="AC35" i="1"/>
  <c r="AE35" i="1" s="1"/>
  <c r="AC36" i="1"/>
  <c r="AE36" i="1" s="1"/>
  <c r="AC37" i="1"/>
  <c r="AE37" i="1" s="1"/>
  <c r="AC38" i="1"/>
  <c r="AE38" i="1" s="1"/>
  <c r="AF38" i="1" s="1"/>
  <c r="AC39" i="1"/>
  <c r="AE39" i="1" s="1"/>
  <c r="AC40" i="1"/>
  <c r="AE40" i="1" s="1"/>
  <c r="AC41" i="1"/>
  <c r="AE41" i="1" s="1"/>
  <c r="AC42" i="1"/>
  <c r="AE42" i="1" s="1"/>
  <c r="AC43" i="1"/>
  <c r="AE43" i="1" s="1"/>
  <c r="AF43" i="1" s="1"/>
  <c r="AC44" i="1"/>
  <c r="AE44" i="1" s="1"/>
  <c r="AC45" i="1"/>
  <c r="AE45" i="1" s="1"/>
  <c r="AC47" i="1"/>
  <c r="AE47" i="1" s="1"/>
  <c r="AC48" i="1"/>
  <c r="AE48" i="1" s="1"/>
  <c r="AC49" i="1"/>
  <c r="AE49" i="1" s="1"/>
  <c r="AC452" i="1"/>
  <c r="AE452" i="1" s="1"/>
  <c r="AC453" i="1"/>
  <c r="AE453" i="1" s="1"/>
  <c r="AC448" i="1"/>
  <c r="AE448" i="1" s="1"/>
  <c r="AC449" i="1"/>
  <c r="AE449" i="1" s="1"/>
  <c r="AC450" i="1"/>
  <c r="AE450" i="1" s="1"/>
  <c r="AC451" i="1"/>
  <c r="AE451" i="1" s="1"/>
  <c r="AC135" i="1"/>
  <c r="AE135" i="1" s="1"/>
  <c r="AC534" i="1"/>
  <c r="AE534" i="1" s="1"/>
  <c r="AC535" i="1"/>
  <c r="AE535" i="1" s="1"/>
  <c r="AC536" i="1"/>
  <c r="AE536" i="1" s="1"/>
  <c r="AC537" i="1"/>
  <c r="AE537" i="1" s="1"/>
  <c r="AC492" i="1"/>
  <c r="AE492" i="1" s="1"/>
  <c r="AC493" i="1"/>
  <c r="AE493" i="1" s="1"/>
  <c r="AC494" i="1"/>
  <c r="AE494" i="1" s="1"/>
  <c r="AC495" i="1"/>
  <c r="AE495" i="1" s="1"/>
  <c r="AC496" i="1"/>
  <c r="AE496" i="1" s="1"/>
  <c r="AC497" i="1"/>
  <c r="AE497" i="1" s="1"/>
  <c r="AC498" i="1"/>
  <c r="AE498" i="1" s="1"/>
  <c r="AC225" i="1"/>
  <c r="AE225" i="1" s="1"/>
  <c r="AC186" i="1"/>
  <c r="AE186" i="1" s="1"/>
  <c r="AC187" i="1"/>
  <c r="AE187" i="1" s="1"/>
  <c r="AC188" i="1"/>
  <c r="AE188" i="1" s="1"/>
  <c r="AC189" i="1"/>
  <c r="AI189" i="1" s="1"/>
  <c r="AC50" i="1"/>
  <c r="AE50" i="1" s="1"/>
  <c r="AF50" i="1" s="1"/>
  <c r="AC51" i="1"/>
  <c r="AE51" i="1" s="1"/>
  <c r="AC52" i="1"/>
  <c r="AE52" i="1" s="1"/>
  <c r="AC53" i="1"/>
  <c r="AE53" i="1" s="1"/>
  <c r="AC54" i="1"/>
  <c r="AE54" i="1" s="1"/>
  <c r="AF54" i="1" s="1"/>
  <c r="AC55" i="1"/>
  <c r="AE55" i="1" s="1"/>
  <c r="AC56" i="1"/>
  <c r="AE56" i="1" s="1"/>
  <c r="AC57" i="1"/>
  <c r="AE57" i="1" s="1"/>
  <c r="AC58" i="1"/>
  <c r="AE58" i="1" s="1"/>
  <c r="AC59" i="1"/>
  <c r="AE59" i="1" s="1"/>
  <c r="AF59" i="1" s="1"/>
  <c r="AC60" i="1"/>
  <c r="AE60" i="1" s="1"/>
  <c r="AC61" i="1"/>
  <c r="AE61" i="1" s="1"/>
  <c r="AC62" i="1"/>
  <c r="AE62" i="1" s="1"/>
  <c r="AF62" i="1" s="1"/>
  <c r="AC63" i="1"/>
  <c r="AE63" i="1" s="1"/>
  <c r="AC64" i="1"/>
  <c r="AE64" i="1" s="1"/>
  <c r="AC65" i="1"/>
  <c r="AE65" i="1" s="1"/>
  <c r="AF65" i="1" s="1"/>
  <c r="AC66" i="1"/>
  <c r="AE66" i="1" s="1"/>
  <c r="AC69" i="1"/>
  <c r="AE69" i="1" s="1"/>
  <c r="AC67" i="1"/>
  <c r="AE67" i="1" s="1"/>
  <c r="AC68" i="1"/>
  <c r="AE68" i="1" s="1"/>
  <c r="AC70" i="1"/>
  <c r="AE70" i="1" s="1"/>
  <c r="AC71" i="1"/>
  <c r="AE71" i="1" s="1"/>
  <c r="AF71" i="1" s="1"/>
  <c r="AC72" i="1"/>
  <c r="AE72" i="1" s="1"/>
  <c r="AC73" i="1"/>
  <c r="AE73" i="1" s="1"/>
  <c r="AC74" i="1"/>
  <c r="AE74" i="1" s="1"/>
  <c r="AC75" i="1"/>
  <c r="AE75" i="1" s="1"/>
  <c r="AF75" i="1" s="1"/>
  <c r="AC76" i="1"/>
  <c r="AE76" i="1" s="1"/>
  <c r="AC77" i="1"/>
  <c r="AE77" i="1" s="1"/>
  <c r="AC78" i="1"/>
  <c r="AE78" i="1" s="1"/>
  <c r="AC80" i="1"/>
  <c r="AE80" i="1" s="1"/>
  <c r="AC79" i="1"/>
  <c r="AE79" i="1" s="1"/>
  <c r="AC83" i="1"/>
  <c r="AE83" i="1" s="1"/>
  <c r="AC81" i="1"/>
  <c r="AE81" i="1" s="1"/>
  <c r="AF81" i="1" s="1"/>
  <c r="AC82" i="1"/>
  <c r="AE82" i="1" s="1"/>
  <c r="AC445" i="1"/>
  <c r="AE445" i="1" s="1"/>
  <c r="AC84" i="1"/>
  <c r="AE84" i="1" s="1"/>
  <c r="AC85" i="1"/>
  <c r="AE85" i="1" s="1"/>
  <c r="AC326" i="1"/>
  <c r="AE326" i="1" s="1"/>
  <c r="AC86" i="1"/>
  <c r="AE86" i="1" s="1"/>
  <c r="AC87" i="1"/>
  <c r="AE87" i="1" s="1"/>
  <c r="AC88" i="1"/>
  <c r="AE88" i="1" s="1"/>
  <c r="AF88" i="1" s="1"/>
  <c r="AC89" i="1"/>
  <c r="AE89" i="1" s="1"/>
  <c r="AF89" i="1" s="1"/>
  <c r="AC90" i="1"/>
  <c r="AE90" i="1" s="1"/>
  <c r="AF90" i="1" s="1"/>
  <c r="AC91" i="1"/>
  <c r="AE91" i="1" s="1"/>
  <c r="AC92" i="1"/>
  <c r="AE92" i="1" s="1"/>
  <c r="AC94" i="1"/>
  <c r="AE94" i="1" s="1"/>
  <c r="AC93" i="1"/>
  <c r="AE93" i="1" s="1"/>
  <c r="AC97" i="1"/>
  <c r="AE97" i="1" s="1"/>
  <c r="AF97" i="1" s="1"/>
  <c r="AC98" i="1"/>
  <c r="AE98" i="1" s="1"/>
  <c r="AC99" i="1"/>
  <c r="AE99" i="1" s="1"/>
  <c r="AC100" i="1"/>
  <c r="AE100" i="1" s="1"/>
  <c r="AC101" i="1"/>
  <c r="AE101" i="1" s="1"/>
  <c r="AC102" i="1"/>
  <c r="AE102" i="1" s="1"/>
  <c r="AC104" i="1"/>
  <c r="AE104" i="1" s="1"/>
  <c r="AF104" i="1" s="1"/>
  <c r="AC105" i="1"/>
  <c r="AE105" i="1" s="1"/>
  <c r="AC106" i="1"/>
  <c r="AE106" i="1" s="1"/>
  <c r="AC107" i="1"/>
  <c r="AE107" i="1" s="1"/>
  <c r="AC108" i="1"/>
  <c r="AE108" i="1" s="1"/>
  <c r="AC109" i="1"/>
  <c r="AE109" i="1" s="1"/>
  <c r="AC110" i="1"/>
  <c r="AE110" i="1" s="1"/>
  <c r="AF110" i="1" s="1"/>
  <c r="AC111" i="1"/>
  <c r="AE111" i="1" s="1"/>
  <c r="AC112" i="1"/>
  <c r="AE112" i="1" s="1"/>
  <c r="AC113" i="1"/>
  <c r="AE113" i="1" s="1"/>
  <c r="AF113" i="1" s="1"/>
  <c r="AC114" i="1"/>
  <c r="AE114" i="1" s="1"/>
  <c r="AC115" i="1"/>
  <c r="AE115" i="1" s="1"/>
  <c r="AC120" i="1"/>
  <c r="AE120" i="1" s="1"/>
  <c r="AC121" i="1"/>
  <c r="AE121" i="1" s="1"/>
  <c r="AC122" i="1"/>
  <c r="AE122" i="1" s="1"/>
  <c r="AC123" i="1"/>
  <c r="AE123" i="1" s="1"/>
  <c r="AC124" i="1"/>
  <c r="AE124" i="1" s="1"/>
  <c r="AF124" i="1" s="1"/>
  <c r="AC125" i="1"/>
  <c r="AE125" i="1" s="1"/>
  <c r="AC126" i="1"/>
  <c r="AE126" i="1" s="1"/>
  <c r="AF126" i="1" s="1"/>
  <c r="AC127" i="1"/>
  <c r="AE127" i="1" s="1"/>
  <c r="AC128" i="1"/>
  <c r="AE128" i="1" s="1"/>
  <c r="AC129" i="1"/>
  <c r="AE129" i="1" s="1"/>
  <c r="AC130" i="1"/>
  <c r="AE130" i="1" s="1"/>
  <c r="AC131" i="1"/>
  <c r="AE131" i="1" s="1"/>
  <c r="AC137" i="1"/>
  <c r="AE137" i="1" s="1"/>
  <c r="AF137" i="1" s="1"/>
  <c r="AC138" i="1"/>
  <c r="AE138" i="1" s="1"/>
  <c r="AC139" i="1"/>
  <c r="AE139" i="1" s="1"/>
  <c r="AC140" i="1"/>
  <c r="AE140" i="1" s="1"/>
  <c r="AF140" i="1" s="1"/>
  <c r="AC141" i="1"/>
  <c r="AE141" i="1" s="1"/>
  <c r="AC142" i="1"/>
  <c r="AE142" i="1" s="1"/>
  <c r="AC159" i="1"/>
  <c r="AE159" i="1" s="1"/>
  <c r="AF159" i="1" s="1"/>
  <c r="AC116" i="1"/>
  <c r="AE116" i="1" s="1"/>
  <c r="AF116" i="1" s="1"/>
  <c r="AC118" i="1"/>
  <c r="AE118" i="1" s="1"/>
  <c r="AC119" i="1"/>
  <c r="AE119" i="1" s="1"/>
  <c r="AC117" i="1"/>
  <c r="AE117" i="1" s="1"/>
  <c r="AC132" i="1"/>
  <c r="AE132" i="1" s="1"/>
  <c r="AF132" i="1" s="1"/>
  <c r="AC134" i="1"/>
  <c r="AE134" i="1" s="1"/>
  <c r="AC133" i="1"/>
  <c r="AE133" i="1" s="1"/>
  <c r="AC136" i="1"/>
  <c r="AE136" i="1" s="1"/>
  <c r="AC143" i="1"/>
  <c r="AE143" i="1" s="1"/>
  <c r="AC144" i="1"/>
  <c r="AE144" i="1" s="1"/>
  <c r="AC145" i="1"/>
  <c r="AE145" i="1" s="1"/>
  <c r="AC146" i="1"/>
  <c r="AE146" i="1" s="1"/>
  <c r="AF146" i="1" s="1"/>
  <c r="AC147" i="1"/>
  <c r="AE147" i="1" s="1"/>
  <c r="AF147" i="1" s="1"/>
  <c r="AC148" i="1"/>
  <c r="AE148" i="1" s="1"/>
  <c r="AC149" i="1"/>
  <c r="AE149" i="1" s="1"/>
  <c r="AF149" i="1" s="1"/>
  <c r="AC150" i="1"/>
  <c r="AE150" i="1" s="1"/>
  <c r="AF150" i="1" s="1"/>
  <c r="AC151" i="1"/>
  <c r="AE151" i="1" s="1"/>
  <c r="AF151" i="1" s="1"/>
  <c r="AC152" i="1"/>
  <c r="AE152" i="1" s="1"/>
  <c r="AF152" i="1" s="1"/>
  <c r="AC153" i="1"/>
  <c r="AE153" i="1" s="1"/>
  <c r="AC103" i="1"/>
  <c r="AE103" i="1" s="1"/>
  <c r="AF103" i="1" s="1"/>
  <c r="AC154" i="1"/>
  <c r="AE154" i="1" s="1"/>
  <c r="AC201" i="1"/>
  <c r="AE201" i="1" s="1"/>
  <c r="AF201" i="1" s="1"/>
  <c r="AC202" i="1"/>
  <c r="AE202" i="1" s="1"/>
  <c r="AC203" i="1"/>
  <c r="AE203" i="1" s="1"/>
  <c r="AC204" i="1"/>
  <c r="AE204" i="1" s="1"/>
  <c r="AC155" i="1"/>
  <c r="AE155" i="1" s="1"/>
  <c r="AC156" i="1"/>
  <c r="AE156" i="1" s="1"/>
  <c r="AF156" i="1" s="1"/>
  <c r="AC157" i="1"/>
  <c r="AE157" i="1" s="1"/>
  <c r="AC158" i="1"/>
  <c r="AE158" i="1" s="1"/>
  <c r="AF158" i="1" s="1"/>
  <c r="AC160" i="1"/>
  <c r="AE160" i="1" s="1"/>
  <c r="AC161" i="1"/>
  <c r="AE161" i="1" s="1"/>
  <c r="AC162" i="1"/>
  <c r="AE162" i="1" s="1"/>
  <c r="AC163" i="1"/>
  <c r="AE163" i="1" s="1"/>
  <c r="AC164" i="1"/>
  <c r="AE164" i="1" s="1"/>
  <c r="AC166" i="1"/>
  <c r="AE166" i="1" s="1"/>
  <c r="AF166" i="1" s="1"/>
  <c r="AC167" i="1"/>
  <c r="AE167" i="1" s="1"/>
  <c r="AC172" i="1"/>
  <c r="AE172" i="1" s="1"/>
  <c r="AC168" i="1"/>
  <c r="AE168" i="1" s="1"/>
  <c r="AF168" i="1" s="1"/>
  <c r="AC169" i="1"/>
  <c r="AE169" i="1" s="1"/>
  <c r="AC170" i="1"/>
  <c r="AE170" i="1" s="1"/>
  <c r="AC171" i="1"/>
  <c r="AE171" i="1" s="1"/>
  <c r="AC173" i="1"/>
  <c r="AE173" i="1" s="1"/>
  <c r="AF173" i="1" s="1"/>
  <c r="AC174" i="1"/>
  <c r="AE174" i="1" s="1"/>
  <c r="AC177" i="1"/>
  <c r="AE177" i="1" s="1"/>
  <c r="AC178" i="1"/>
  <c r="AE178" i="1" s="1"/>
  <c r="AF178" i="1" s="1"/>
  <c r="AC179" i="1"/>
  <c r="AE179" i="1" s="1"/>
  <c r="AF179" i="1" s="1"/>
  <c r="AC180" i="1"/>
  <c r="AE180" i="1" s="1"/>
  <c r="AC181" i="1"/>
  <c r="AE181" i="1" s="1"/>
  <c r="AC182" i="1"/>
  <c r="AE182" i="1" s="1"/>
  <c r="AF182" i="1" s="1"/>
  <c r="AC183" i="1"/>
  <c r="AE183" i="1" s="1"/>
  <c r="AE184" i="1"/>
  <c r="AC190" i="1"/>
  <c r="AE190" i="1" s="1"/>
  <c r="AC191" i="1"/>
  <c r="AE191" i="1" s="1"/>
  <c r="AC192" i="1"/>
  <c r="AE192" i="1" s="1"/>
  <c r="AC193" i="1"/>
  <c r="AE193" i="1" s="1"/>
  <c r="AC194" i="1"/>
  <c r="AE194" i="1" s="1"/>
  <c r="AC516" i="1"/>
  <c r="AE516" i="1" s="1"/>
  <c r="AF516" i="1" s="1"/>
  <c r="AC517" i="1"/>
  <c r="AE517" i="1" s="1"/>
  <c r="AC518" i="1"/>
  <c r="AE518" i="1" s="1"/>
  <c r="AC519" i="1"/>
  <c r="AE519" i="1" s="1"/>
  <c r="AC520" i="1"/>
  <c r="AE520" i="1" s="1"/>
  <c r="AC521" i="1"/>
  <c r="AE521" i="1" s="1"/>
  <c r="AC510" i="1"/>
  <c r="AE510" i="1" s="1"/>
  <c r="AF510" i="1" s="1"/>
  <c r="AC511" i="1"/>
  <c r="AE511" i="1" s="1"/>
  <c r="AC512" i="1"/>
  <c r="AE512" i="1" s="1"/>
  <c r="AC513" i="1"/>
  <c r="AE513" i="1" s="1"/>
  <c r="AC514" i="1"/>
  <c r="AE514" i="1" s="1"/>
  <c r="AC515" i="1"/>
  <c r="AE515" i="1" s="1"/>
  <c r="AC505" i="1"/>
  <c r="AE505" i="1" s="1"/>
  <c r="AF505" i="1" s="1"/>
  <c r="AC506" i="1"/>
  <c r="AE506" i="1" s="1"/>
  <c r="AC507" i="1"/>
  <c r="AE507" i="1" s="1"/>
  <c r="AC508" i="1"/>
  <c r="AE508" i="1" s="1"/>
  <c r="AC509" i="1"/>
  <c r="AE509" i="1" s="1"/>
  <c r="AC165" i="1"/>
  <c r="AE165" i="1" s="1"/>
  <c r="AF165" i="1" s="1"/>
  <c r="AC20" i="1"/>
  <c r="AE20" i="1" s="1"/>
  <c r="AC21" i="1"/>
  <c r="AE21" i="1" s="1"/>
  <c r="AC195" i="1"/>
  <c r="AE195" i="1" s="1"/>
  <c r="AC196" i="1"/>
  <c r="AE196" i="1" s="1"/>
  <c r="AC197" i="1"/>
  <c r="AE197" i="1" s="1"/>
  <c r="AC198" i="1"/>
  <c r="AE198" i="1" s="1"/>
  <c r="AC199" i="1"/>
  <c r="AE199" i="1" s="1"/>
  <c r="AC200" i="1"/>
  <c r="AE200" i="1" s="1"/>
  <c r="AC205" i="1"/>
  <c r="AE205" i="1" s="1"/>
  <c r="AF205" i="1" s="1"/>
  <c r="AC207" i="1"/>
  <c r="AE207" i="1" s="1"/>
  <c r="AC206" i="1"/>
  <c r="AE206" i="1" s="1"/>
  <c r="AC212" i="1"/>
  <c r="AE212" i="1" s="1"/>
  <c r="AC213" i="1"/>
  <c r="AE213" i="1" s="1"/>
  <c r="AC210" i="1"/>
  <c r="AE210" i="1" s="1"/>
  <c r="AC211" i="1"/>
  <c r="AE211" i="1" s="1"/>
  <c r="AC214" i="1"/>
  <c r="AE214" i="1" s="1"/>
  <c r="AF214" i="1" s="1"/>
  <c r="AC215" i="1"/>
  <c r="AE215" i="1" s="1"/>
  <c r="AF215" i="1" s="1"/>
  <c r="AC218" i="1"/>
  <c r="AE218" i="1" s="1"/>
  <c r="AC219" i="1"/>
  <c r="AE219" i="1" s="1"/>
  <c r="AC324" i="1"/>
  <c r="AE324" i="1" s="1"/>
  <c r="AC220" i="1"/>
  <c r="AE220" i="1" s="1"/>
  <c r="AC221" i="1"/>
  <c r="AE221" i="1" s="1"/>
  <c r="AF221" i="1" s="1"/>
  <c r="AC222" i="1"/>
  <c r="AE222" i="1" s="1"/>
  <c r="AC223" i="1"/>
  <c r="AE223" i="1" s="1"/>
  <c r="AF223" i="1" s="1"/>
  <c r="AC226" i="1"/>
  <c r="AE226" i="1" s="1"/>
  <c r="AC228" i="1"/>
  <c r="AE228" i="1" s="1"/>
  <c r="AC229" i="1"/>
  <c r="AE229" i="1" s="1"/>
  <c r="AC230" i="1"/>
  <c r="AE230" i="1" s="1"/>
  <c r="AC232" i="1"/>
  <c r="AE232" i="1" s="1"/>
  <c r="AC233" i="1"/>
  <c r="AE233" i="1" s="1"/>
  <c r="AC231" i="1"/>
  <c r="AE231" i="1" s="1"/>
  <c r="AC234" i="1"/>
  <c r="AE234" i="1" s="1"/>
  <c r="AC235" i="1"/>
  <c r="AE235" i="1" s="1"/>
  <c r="AC236" i="1"/>
  <c r="AE236" i="1" s="1"/>
  <c r="AC237" i="1"/>
  <c r="AE237" i="1" s="1"/>
  <c r="AF237" i="1" s="1"/>
  <c r="AC238" i="1"/>
  <c r="AE238" i="1" s="1"/>
  <c r="AC239" i="1"/>
  <c r="AE239" i="1" s="1"/>
  <c r="AF239" i="1" s="1"/>
  <c r="AC240" i="1"/>
  <c r="AE240" i="1" s="1"/>
  <c r="AC241" i="1"/>
  <c r="AE241" i="1" s="1"/>
  <c r="AC242" i="1"/>
  <c r="AE242" i="1" s="1"/>
  <c r="AF242" i="1" s="1"/>
  <c r="AC243" i="1"/>
  <c r="AE243" i="1" s="1"/>
  <c r="AC244" i="1"/>
  <c r="AE244" i="1" s="1"/>
  <c r="AC245" i="1"/>
  <c r="AE245" i="1" s="1"/>
  <c r="AC246" i="1"/>
  <c r="AE246" i="1" s="1"/>
  <c r="AC247" i="1"/>
  <c r="AE247" i="1" s="1"/>
  <c r="AC248" i="1"/>
  <c r="AE248" i="1" s="1"/>
  <c r="AF248" i="1" s="1"/>
  <c r="AC249" i="1"/>
  <c r="AE249" i="1" s="1"/>
  <c r="AC250" i="1"/>
  <c r="AE250" i="1" s="1"/>
  <c r="AC251" i="1"/>
  <c r="AE251" i="1" s="1"/>
  <c r="AC252" i="1"/>
  <c r="AE252" i="1" s="1"/>
  <c r="AF252" i="1" s="1"/>
  <c r="AC253" i="1"/>
  <c r="AE253" i="1" s="1"/>
  <c r="AC254" i="1"/>
  <c r="AE254" i="1" s="1"/>
  <c r="AC255" i="1"/>
  <c r="AE255" i="1" s="1"/>
  <c r="AC256" i="1"/>
  <c r="AE256" i="1" s="1"/>
  <c r="AC257" i="1"/>
  <c r="AE257" i="1" s="1"/>
  <c r="AC258" i="1"/>
  <c r="AE258" i="1" s="1"/>
  <c r="AC259" i="1"/>
  <c r="AE259" i="1" s="1"/>
  <c r="AC260" i="1"/>
  <c r="AE260" i="1" s="1"/>
  <c r="AC262" i="1"/>
  <c r="AE262" i="1" s="1"/>
  <c r="AC261" i="1"/>
  <c r="AE261" i="1" s="1"/>
  <c r="AC263" i="1"/>
  <c r="AE263" i="1" s="1"/>
  <c r="AC264" i="1"/>
  <c r="AE264" i="1" s="1"/>
  <c r="AC265" i="1"/>
  <c r="AE265" i="1" s="1"/>
  <c r="AC266" i="1"/>
  <c r="AE266" i="1" s="1"/>
  <c r="AC267" i="1"/>
  <c r="AE267" i="1" s="1"/>
  <c r="AC268" i="1"/>
  <c r="AE268" i="1" s="1"/>
  <c r="AC273" i="1"/>
  <c r="AE273" i="1" s="1"/>
  <c r="AC274" i="1"/>
  <c r="AE274" i="1" s="1"/>
  <c r="AC269" i="1"/>
  <c r="AE269" i="1" s="1"/>
  <c r="AC275" i="1"/>
  <c r="AE275" i="1" s="1"/>
  <c r="AC270" i="1"/>
  <c r="AE270" i="1" s="1"/>
  <c r="AC271" i="1"/>
  <c r="AE271" i="1" s="1"/>
  <c r="AC272" i="1"/>
  <c r="AE272" i="1" s="1"/>
  <c r="AC276" i="1"/>
  <c r="AE276" i="1" s="1"/>
  <c r="AC325" i="1"/>
  <c r="AE325" i="1" s="1"/>
  <c r="AC281" i="1"/>
  <c r="AE281" i="1" s="1"/>
  <c r="AC282" i="1"/>
  <c r="AE282" i="1" s="1"/>
  <c r="AC284" i="1"/>
  <c r="AE284" i="1" s="1"/>
  <c r="AC283" i="1"/>
  <c r="AE283" i="1" s="1"/>
  <c r="AC7" i="1"/>
  <c r="AE7" i="1" s="1"/>
  <c r="AC285" i="1"/>
  <c r="AE285" i="1" s="1"/>
  <c r="AC286" i="1"/>
  <c r="AE286" i="1" s="1"/>
  <c r="AC287" i="1"/>
  <c r="AE287" i="1" s="1"/>
  <c r="AC288" i="1"/>
  <c r="AE288" i="1" s="1"/>
  <c r="AF288" i="1" s="1"/>
  <c r="AC289" i="1"/>
  <c r="AE289" i="1" s="1"/>
  <c r="AC290" i="1"/>
  <c r="AE290" i="1" s="1"/>
  <c r="AF290" i="1" s="1"/>
  <c r="AC291" i="1"/>
  <c r="AE291" i="1" s="1"/>
  <c r="AC292" i="1"/>
  <c r="AE292" i="1" s="1"/>
  <c r="AC297" i="1"/>
  <c r="AE297" i="1" s="1"/>
  <c r="AC298" i="1"/>
  <c r="AE298" i="1" s="1"/>
  <c r="AC293" i="1"/>
  <c r="AE293" i="1" s="1"/>
  <c r="AF293" i="1" s="1"/>
  <c r="AC294" i="1"/>
  <c r="AE294" i="1" s="1"/>
  <c r="AC295" i="1"/>
  <c r="AE295" i="1" s="1"/>
  <c r="AC296" i="1"/>
  <c r="AE296" i="1" s="1"/>
  <c r="AC300" i="1"/>
  <c r="AE300" i="1" s="1"/>
  <c r="AC301" i="1"/>
  <c r="AE301" i="1" s="1"/>
  <c r="AF301" i="1" s="1"/>
  <c r="AC304" i="1"/>
  <c r="AE304" i="1" s="1"/>
  <c r="AC302" i="1"/>
  <c r="AE302" i="1" s="1"/>
  <c r="AC303" i="1"/>
  <c r="AE303" i="1" s="1"/>
  <c r="AC305" i="1"/>
  <c r="AE305" i="1" s="1"/>
  <c r="AF305" i="1" s="1"/>
  <c r="AC306" i="1"/>
  <c r="AE306" i="1" s="1"/>
  <c r="AC307" i="1"/>
  <c r="AE307" i="1" s="1"/>
  <c r="AC309" i="1"/>
  <c r="AE309" i="1" s="1"/>
  <c r="AC308" i="1"/>
  <c r="AE308" i="1" s="1"/>
  <c r="AF308" i="1" s="1"/>
  <c r="AC310" i="1"/>
  <c r="AE310" i="1" s="1"/>
  <c r="AF310" i="1" s="1"/>
  <c r="AC311" i="1"/>
  <c r="AE311" i="1" s="1"/>
  <c r="AC312" i="1"/>
  <c r="AE312" i="1" s="1"/>
  <c r="AC313" i="1"/>
  <c r="AE313" i="1" s="1"/>
  <c r="AC314" i="1"/>
  <c r="AE314" i="1" s="1"/>
  <c r="AC315" i="1"/>
  <c r="AE315" i="1" s="1"/>
  <c r="AC316" i="1"/>
  <c r="AE316" i="1" s="1"/>
  <c r="AC317" i="1"/>
  <c r="AE317" i="1" s="1"/>
  <c r="AC318" i="1"/>
  <c r="AE318" i="1" s="1"/>
  <c r="AF318" i="1" s="1"/>
  <c r="AC319" i="1"/>
  <c r="AE319" i="1" s="1"/>
  <c r="AC320" i="1"/>
  <c r="AE320" i="1" s="1"/>
  <c r="AF320" i="1" s="1"/>
  <c r="AC321" i="1"/>
  <c r="AE321" i="1" s="1"/>
  <c r="AC322" i="1"/>
  <c r="AE322" i="1" s="1"/>
  <c r="AC323" i="1"/>
  <c r="AE323" i="1" s="1"/>
  <c r="AC327" i="1"/>
  <c r="AE327" i="1" s="1"/>
  <c r="AC328" i="1"/>
  <c r="AE328" i="1" s="1"/>
  <c r="AC329" i="1"/>
  <c r="AE329" i="1" s="1"/>
  <c r="AC330" i="1"/>
  <c r="AE330" i="1" s="1"/>
  <c r="AC530" i="1"/>
  <c r="AE530" i="1" s="1"/>
  <c r="AC531" i="1"/>
  <c r="AE531" i="1" s="1"/>
  <c r="AC332" i="1"/>
  <c r="AE332" i="1" s="1"/>
  <c r="AF332" i="1" s="1"/>
  <c r="AC333" i="1"/>
  <c r="AE333" i="1" s="1"/>
  <c r="AF333" i="1" s="1"/>
  <c r="AC334" i="1"/>
  <c r="AE334" i="1" s="1"/>
  <c r="AC335" i="1"/>
  <c r="AE335" i="1" s="1"/>
  <c r="AC336" i="1"/>
  <c r="AE336" i="1" s="1"/>
  <c r="AC337" i="1"/>
  <c r="AE337" i="1" s="1"/>
  <c r="AC338" i="1"/>
  <c r="AE338" i="1" s="1"/>
  <c r="AF338" i="1" s="1"/>
  <c r="AC339" i="1"/>
  <c r="AE339" i="1" s="1"/>
  <c r="AC340" i="1"/>
  <c r="AE340" i="1" s="1"/>
  <c r="AC341" i="1"/>
  <c r="AE341" i="1" s="1"/>
  <c r="AC342" i="1"/>
  <c r="AE342" i="1" s="1"/>
  <c r="AF342" i="1" s="1"/>
  <c r="AC343" i="1"/>
  <c r="AE343" i="1" s="1"/>
  <c r="AC344" i="1"/>
  <c r="AE344" i="1" s="1"/>
  <c r="AF344" i="1" s="1"/>
  <c r="AC345" i="1"/>
  <c r="AE345" i="1" s="1"/>
  <c r="AC346" i="1"/>
  <c r="AE346" i="1" s="1"/>
  <c r="AC347" i="1"/>
  <c r="AE347" i="1" s="1"/>
  <c r="AC348" i="1"/>
  <c r="AE348" i="1" s="1"/>
  <c r="AC349" i="1"/>
  <c r="AE349" i="1" s="1"/>
  <c r="AC350" i="1"/>
  <c r="AE350" i="1" s="1"/>
  <c r="AC351" i="1"/>
  <c r="AE351" i="1" s="1"/>
  <c r="AC352" i="1"/>
  <c r="AE352" i="1" s="1"/>
  <c r="AC353" i="1"/>
  <c r="AE353" i="1" s="1"/>
  <c r="AC354" i="1"/>
  <c r="AE354" i="1" s="1"/>
  <c r="AC355" i="1"/>
  <c r="AE355" i="1" s="1"/>
  <c r="AC356" i="1"/>
  <c r="AE356" i="1" s="1"/>
  <c r="AC357" i="1"/>
  <c r="AE357" i="1" s="1"/>
  <c r="AC358" i="1"/>
  <c r="AE358" i="1" s="1"/>
  <c r="AC359" i="1"/>
  <c r="AE359" i="1" s="1"/>
  <c r="AC360" i="1"/>
  <c r="AE360" i="1" s="1"/>
  <c r="AF360" i="1" s="1"/>
  <c r="AC361" i="1"/>
  <c r="AE361" i="1" s="1"/>
  <c r="AC362" i="1"/>
  <c r="AE362" i="1" s="1"/>
  <c r="AF362" i="1" s="1"/>
  <c r="AC363" i="1"/>
  <c r="AE363" i="1" s="1"/>
  <c r="AF363" i="1" s="1"/>
  <c r="AC364" i="1"/>
  <c r="AE364" i="1" s="1"/>
  <c r="AC365" i="1"/>
  <c r="AE365" i="1" s="1"/>
  <c r="AC366" i="1"/>
  <c r="AE366" i="1" s="1"/>
  <c r="AC367" i="1"/>
  <c r="AE367" i="1" s="1"/>
  <c r="AC368" i="1"/>
  <c r="AE368" i="1" s="1"/>
  <c r="AF368" i="1" s="1"/>
  <c r="AC369" i="1"/>
  <c r="AE369" i="1" s="1"/>
  <c r="AC370" i="1"/>
  <c r="AE370" i="1" s="1"/>
  <c r="AC371" i="1"/>
  <c r="AE371" i="1" s="1"/>
  <c r="AC372" i="1"/>
  <c r="AE372" i="1" s="1"/>
  <c r="AC373" i="1"/>
  <c r="AE373" i="1" s="1"/>
  <c r="AC374" i="1"/>
  <c r="AE374" i="1" s="1"/>
  <c r="AC96" i="1"/>
  <c r="AE96" i="1" s="1"/>
  <c r="AC95" i="1"/>
  <c r="AE95" i="1" s="1"/>
  <c r="AF95" i="1" s="1"/>
  <c r="AC375" i="1"/>
  <c r="AE375" i="1" s="1"/>
  <c r="AC376" i="1"/>
  <c r="AE376" i="1" s="1"/>
  <c r="AC377" i="1"/>
  <c r="AE377" i="1" s="1"/>
  <c r="AF377" i="1" s="1"/>
  <c r="AC378" i="1"/>
  <c r="AE378" i="1" s="1"/>
  <c r="AC379" i="1"/>
  <c r="AE379" i="1" s="1"/>
  <c r="AC380" i="1"/>
  <c r="AE380" i="1" s="1"/>
  <c r="AF380" i="1" s="1"/>
  <c r="AC381" i="1"/>
  <c r="AE381" i="1" s="1"/>
  <c r="AC382" i="1"/>
  <c r="AE382" i="1" s="1"/>
  <c r="AC383" i="1"/>
  <c r="AE383" i="1" s="1"/>
  <c r="AC384" i="1"/>
  <c r="AE384" i="1" s="1"/>
  <c r="AC385" i="1"/>
  <c r="AE385" i="1" s="1"/>
  <c r="AC386" i="1"/>
  <c r="AE386" i="1" s="1"/>
  <c r="AC387" i="1"/>
  <c r="AE387" i="1" s="1"/>
  <c r="AC388" i="1"/>
  <c r="AE388" i="1" s="1"/>
  <c r="AC389" i="1"/>
  <c r="AE389" i="1" s="1"/>
  <c r="AC390" i="1"/>
  <c r="AE390" i="1" s="1"/>
  <c r="AC391" i="1"/>
  <c r="AE391" i="1" s="1"/>
  <c r="AC392" i="1"/>
  <c r="AE392" i="1" s="1"/>
  <c r="AC393" i="1"/>
  <c r="AE393" i="1" s="1"/>
  <c r="AC394" i="1"/>
  <c r="AE394" i="1" s="1"/>
  <c r="AC395" i="1"/>
  <c r="AE395" i="1" s="1"/>
  <c r="AC396" i="1"/>
  <c r="AE396" i="1" s="1"/>
  <c r="AC397" i="1"/>
  <c r="AE397" i="1" s="1"/>
  <c r="AC398" i="1"/>
  <c r="AE398" i="1" s="1"/>
  <c r="AC399" i="1"/>
  <c r="AE399" i="1" s="1"/>
  <c r="AC400" i="1"/>
  <c r="AE400" i="1" s="1"/>
  <c r="AC185" i="1"/>
  <c r="AE185" i="1" s="1"/>
  <c r="AC527" i="1"/>
  <c r="AE527" i="1" s="1"/>
  <c r="AC528" i="1"/>
  <c r="AE528" i="1" s="1"/>
  <c r="AC529" i="1"/>
  <c r="AE529" i="1" s="1"/>
  <c r="AC401" i="1"/>
  <c r="AE401" i="1" s="1"/>
  <c r="AC402" i="1"/>
  <c r="AE402" i="1" s="1"/>
  <c r="AC403" i="1"/>
  <c r="AE403" i="1" s="1"/>
  <c r="AC404" i="1"/>
  <c r="AE404" i="1" s="1"/>
  <c r="AC405" i="1"/>
  <c r="AE405" i="1" s="1"/>
  <c r="AC406" i="1"/>
  <c r="AE406" i="1" s="1"/>
  <c r="AC407" i="1"/>
  <c r="AE407" i="1" s="1"/>
  <c r="AC299" i="1"/>
  <c r="AE299" i="1" s="1"/>
  <c r="AF299" i="1" s="1"/>
  <c r="AC175" i="1"/>
  <c r="AE175" i="1" s="1"/>
  <c r="AC176" i="1"/>
  <c r="AE176" i="1" s="1"/>
  <c r="AC408" i="1"/>
  <c r="AE408" i="1" s="1"/>
  <c r="AC409" i="1"/>
  <c r="AE409" i="1" s="1"/>
  <c r="AC410" i="1"/>
  <c r="AE410" i="1" s="1"/>
  <c r="AC411" i="1"/>
  <c r="AE411" i="1" s="1"/>
  <c r="AC412" i="1"/>
  <c r="AE412" i="1" s="1"/>
  <c r="AC413" i="1"/>
  <c r="AE413" i="1" s="1"/>
  <c r="AC414" i="1"/>
  <c r="AE414" i="1" s="1"/>
  <c r="AC415" i="1"/>
  <c r="AE415" i="1" s="1"/>
  <c r="AC416" i="1"/>
  <c r="AE416" i="1" s="1"/>
  <c r="AC417" i="1"/>
  <c r="AE417" i="1" s="1"/>
  <c r="AC446" i="1"/>
  <c r="AE446" i="1" s="1"/>
  <c r="AC447" i="1"/>
  <c r="AE447" i="1" s="1"/>
  <c r="AC216" i="1"/>
  <c r="AE216" i="1" s="1"/>
  <c r="AC217" i="1"/>
  <c r="AE217" i="1" s="1"/>
  <c r="AC418" i="1"/>
  <c r="AE418" i="1" s="1"/>
  <c r="AC419" i="1"/>
  <c r="AE419" i="1" s="1"/>
  <c r="AC420" i="1"/>
  <c r="AC421" i="1"/>
  <c r="AE421" i="1" s="1"/>
  <c r="AC422" i="1"/>
  <c r="AE422" i="1" s="1"/>
  <c r="AC423" i="1"/>
  <c r="AE423" i="1" s="1"/>
  <c r="AC424" i="1"/>
  <c r="AE424" i="1" s="1"/>
  <c r="AF424" i="1" s="1"/>
  <c r="AC425" i="1"/>
  <c r="AE425" i="1" s="1"/>
  <c r="AC426" i="1"/>
  <c r="AE426" i="1" s="1"/>
  <c r="AC427" i="1"/>
  <c r="AE427" i="1" s="1"/>
  <c r="AC331" i="1"/>
  <c r="AE331" i="1" s="1"/>
  <c r="AC428" i="1"/>
  <c r="AE428" i="1" s="1"/>
  <c r="AC208" i="1"/>
  <c r="AE208" i="1" s="1"/>
  <c r="AF208" i="1" s="1"/>
  <c r="AC209" i="1"/>
  <c r="AE209" i="1" s="1"/>
  <c r="AC429" i="1"/>
  <c r="AE429" i="1" s="1"/>
  <c r="AC430" i="1"/>
  <c r="AE430" i="1" s="1"/>
  <c r="AF430" i="1" s="1"/>
  <c r="AC431" i="1"/>
  <c r="AE431" i="1" s="1"/>
  <c r="AC432" i="1"/>
  <c r="AE432" i="1" s="1"/>
  <c r="AC433" i="1"/>
  <c r="AE433" i="1" s="1"/>
  <c r="AC434" i="1"/>
  <c r="AE434" i="1" s="1"/>
  <c r="AC435" i="1"/>
  <c r="AE435" i="1" s="1"/>
  <c r="AC436" i="1"/>
  <c r="AE436" i="1" s="1"/>
  <c r="AF436" i="1" s="1"/>
  <c r="AC437" i="1"/>
  <c r="AE437" i="1" s="1"/>
  <c r="AF437" i="1" s="1"/>
  <c r="AC438" i="1"/>
  <c r="AE438" i="1" s="1"/>
  <c r="AC439" i="1"/>
  <c r="AE439" i="1" s="1"/>
  <c r="AC440" i="1"/>
  <c r="AE440" i="1" s="1"/>
  <c r="AC441" i="1"/>
  <c r="AE441" i="1" s="1"/>
  <c r="AF441" i="1" s="1"/>
  <c r="AC442" i="1"/>
  <c r="AE442" i="1" s="1"/>
  <c r="AC443" i="1"/>
  <c r="AE443" i="1" s="1"/>
  <c r="AC444" i="1"/>
  <c r="AE444" i="1" s="1"/>
  <c r="AC456" i="1"/>
  <c r="AE456" i="1" s="1"/>
  <c r="AC454" i="1"/>
  <c r="AE454" i="1" s="1"/>
  <c r="AF454" i="1" s="1"/>
  <c r="AC457" i="1"/>
  <c r="AE457" i="1" s="1"/>
  <c r="AC455" i="1"/>
  <c r="AE455" i="1" s="1"/>
  <c r="AC458" i="1"/>
  <c r="AE458" i="1" s="1"/>
  <c r="AC459" i="1"/>
  <c r="AE459" i="1" s="1"/>
  <c r="AF459" i="1" s="1"/>
  <c r="AC460" i="1"/>
  <c r="AE460" i="1" s="1"/>
  <c r="AC461" i="1"/>
  <c r="AE461" i="1" s="1"/>
  <c r="AC462" i="1"/>
  <c r="AE462" i="1" s="1"/>
  <c r="AC463" i="1"/>
  <c r="AE463" i="1" s="1"/>
  <c r="AC464" i="1"/>
  <c r="AE464" i="1" s="1"/>
  <c r="AC465" i="1"/>
  <c r="AE465" i="1" s="1"/>
  <c r="AC466" i="1"/>
  <c r="AE466" i="1" s="1"/>
  <c r="AC467" i="1"/>
  <c r="AE467" i="1" s="1"/>
  <c r="AC468" i="1"/>
  <c r="AE468" i="1" s="1"/>
  <c r="AC469" i="1"/>
  <c r="AE469" i="1" s="1"/>
  <c r="AC470" i="1"/>
  <c r="AE470" i="1" s="1"/>
  <c r="AC471" i="1"/>
  <c r="AE471" i="1" s="1"/>
  <c r="AC472" i="1"/>
  <c r="AE472" i="1" s="1"/>
  <c r="AC473" i="1"/>
  <c r="AE473" i="1" s="1"/>
  <c r="AC474" i="1"/>
  <c r="AE474" i="1" s="1"/>
  <c r="AC475" i="1"/>
  <c r="AE475" i="1" s="1"/>
  <c r="AC476" i="1"/>
  <c r="AE476" i="1" s="1"/>
  <c r="AC477" i="1"/>
  <c r="AI477" i="1" s="1"/>
  <c r="AC478" i="1"/>
  <c r="AE478" i="1" s="1"/>
  <c r="AC479" i="1"/>
  <c r="AE479" i="1" s="1"/>
  <c r="AC480" i="1"/>
  <c r="AE480" i="1" s="1"/>
  <c r="AC481" i="1"/>
  <c r="AE481" i="1" s="1"/>
  <c r="AC482" i="1"/>
  <c r="AE482" i="1" s="1"/>
  <c r="AC483" i="1"/>
  <c r="AE483" i="1" s="1"/>
  <c r="AC484" i="1"/>
  <c r="AE484" i="1" s="1"/>
  <c r="AC485" i="1"/>
  <c r="AE485" i="1" s="1"/>
  <c r="AC486" i="1"/>
  <c r="AE486" i="1" s="1"/>
  <c r="AC488" i="1"/>
  <c r="AE488" i="1" s="1"/>
  <c r="AC487" i="1"/>
  <c r="AE487" i="1" s="1"/>
  <c r="AC489" i="1"/>
  <c r="AE489" i="1" s="1"/>
  <c r="AC490" i="1"/>
  <c r="AE490" i="1" s="1"/>
  <c r="AC491" i="1"/>
  <c r="AE491" i="1" s="1"/>
  <c r="AC499" i="1"/>
  <c r="AE499" i="1" s="1"/>
  <c r="AC277" i="1"/>
  <c r="AE277" i="1" s="1"/>
  <c r="AC278" i="1"/>
  <c r="AE278" i="1" s="1"/>
  <c r="AC279" i="1"/>
  <c r="AE279" i="1" s="1"/>
  <c r="AC280" i="1"/>
  <c r="AE280" i="1" s="1"/>
  <c r="AC224" i="1"/>
  <c r="AE224" i="1" s="1"/>
  <c r="AC500" i="1"/>
  <c r="AE500" i="1" s="1"/>
  <c r="AC532" i="1"/>
  <c r="AE532" i="1" s="1"/>
  <c r="AC533" i="1"/>
  <c r="AE533" i="1" s="1"/>
  <c r="AC501" i="1"/>
  <c r="AE501" i="1" s="1"/>
  <c r="AC502" i="1"/>
  <c r="AE502" i="1" s="1"/>
  <c r="AC503" i="1"/>
  <c r="AE503" i="1" s="1"/>
  <c r="AC504" i="1"/>
  <c r="AE504" i="1" s="1"/>
  <c r="AC522" i="1"/>
  <c r="AE522" i="1" s="1"/>
  <c r="AC523" i="1"/>
  <c r="AE523" i="1" s="1"/>
  <c r="AC524" i="1"/>
  <c r="AE524" i="1" s="1"/>
  <c r="AC525" i="1"/>
  <c r="AE525" i="1" s="1"/>
  <c r="AC526" i="1"/>
  <c r="AE526" i="1" s="1"/>
  <c r="AC538" i="1"/>
  <c r="AE538" i="1" s="1"/>
  <c r="AC539" i="1"/>
  <c r="AE539" i="1" s="1"/>
  <c r="AC540" i="1"/>
  <c r="AE540" i="1" s="1"/>
  <c r="AC541" i="1"/>
  <c r="AE541" i="1" s="1"/>
  <c r="AC542" i="1"/>
  <c r="AE542" i="1" s="1"/>
  <c r="AC543" i="1"/>
  <c r="AE543" i="1" s="1"/>
  <c r="AC544" i="1"/>
  <c r="AE544" i="1" s="1"/>
  <c r="AC545" i="1"/>
  <c r="AE545" i="1" s="1"/>
  <c r="AF545" i="1" s="1"/>
  <c r="AC546" i="1"/>
  <c r="AE546" i="1" s="1"/>
  <c r="AF546" i="1" s="1"/>
  <c r="AC227" i="1"/>
  <c r="AE227" i="1" s="1"/>
  <c r="AC547" i="1"/>
  <c r="AE547" i="1" s="1"/>
  <c r="AF547" i="1" s="1"/>
  <c r="AC548" i="1"/>
  <c r="AE548" i="1" s="1"/>
  <c r="AF548" i="1" s="1"/>
  <c r="AC549" i="1"/>
  <c r="AE549" i="1" s="1"/>
  <c r="AC550" i="1"/>
  <c r="AE550" i="1" s="1"/>
  <c r="AC551" i="1"/>
  <c r="AE551" i="1" s="1"/>
  <c r="AC552" i="1"/>
  <c r="AE552" i="1" s="1"/>
  <c r="AC553" i="1"/>
  <c r="AE553" i="1" s="1"/>
  <c r="AC554" i="1"/>
  <c r="AE554" i="1" s="1"/>
  <c r="AC555" i="1"/>
  <c r="AE555" i="1" s="1"/>
  <c r="AC3" i="1"/>
  <c r="AI3" i="1" s="1"/>
  <c r="AC4" i="1"/>
  <c r="AI4" i="1" s="1"/>
  <c r="AC5" i="1"/>
  <c r="AE5" i="1" s="1"/>
  <c r="AF5" i="1" s="1"/>
  <c r="AC6" i="1"/>
  <c r="AE6" i="1" s="1"/>
  <c r="AC8" i="1"/>
  <c r="AE8" i="1" s="1"/>
  <c r="AF8" i="1" s="1"/>
  <c r="AC9" i="1"/>
  <c r="AE9" i="1" s="1"/>
  <c r="AC10" i="1"/>
  <c r="AE10" i="1" s="1"/>
  <c r="AC11" i="1"/>
  <c r="AI11" i="1" s="1"/>
  <c r="AC12" i="1"/>
  <c r="AI12" i="1" s="1"/>
  <c r="AC13" i="1"/>
  <c r="AI13" i="1" s="1"/>
  <c r="AC14" i="1"/>
  <c r="AE14" i="1" s="1"/>
  <c r="AC15" i="1"/>
  <c r="AE15" i="1" s="1"/>
  <c r="AC16" i="1"/>
  <c r="AE16" i="1" s="1"/>
  <c r="AF16" i="1" s="1"/>
  <c r="AC17" i="1"/>
  <c r="AE17" i="1" s="1"/>
  <c r="AC18" i="1"/>
  <c r="AE18" i="1" s="1"/>
  <c r="AC19" i="1"/>
  <c r="AI19" i="1" s="1"/>
  <c r="AC22" i="1"/>
  <c r="AI22" i="1" s="1"/>
  <c r="AC23" i="1"/>
  <c r="AI23" i="1" s="1"/>
  <c r="AC24" i="1"/>
  <c r="AE24" i="1" s="1"/>
  <c r="AF24" i="1" s="1"/>
  <c r="AC25" i="1"/>
  <c r="AE25" i="1" s="1"/>
  <c r="AC2" i="1"/>
  <c r="AE2" i="1" s="1"/>
  <c r="AD2" i="1" s="1"/>
  <c r="C79" i="5"/>
  <c r="C80" i="5"/>
  <c r="C81" i="5"/>
  <c r="C82" i="5"/>
  <c r="C78" i="5"/>
  <c r="AE420" i="1" l="1"/>
  <c r="AJ343" i="1"/>
  <c r="AI343" i="1"/>
  <c r="AJ26" i="1"/>
  <c r="AJ454" i="1"/>
  <c r="AJ220" i="1"/>
  <c r="AJ447" i="1"/>
  <c r="AJ188" i="1"/>
  <c r="AJ414" i="1"/>
  <c r="AJ153" i="1"/>
  <c r="AJ397" i="1"/>
  <c r="AJ145" i="1"/>
  <c r="AJ389" i="1"/>
  <c r="AJ96" i="1"/>
  <c r="AJ325" i="1"/>
  <c r="AJ66" i="1"/>
  <c r="AJ301" i="1"/>
  <c r="AJ50" i="1"/>
  <c r="AJ526" i="1"/>
  <c r="AJ292" i="1"/>
  <c r="AJ537" i="1"/>
  <c r="AJ486" i="1"/>
  <c r="AJ422" i="1"/>
  <c r="AJ365" i="1"/>
  <c r="AJ333" i="1"/>
  <c r="AJ122" i="1"/>
  <c r="AJ33" i="1"/>
  <c r="AJ530" i="1"/>
  <c r="AJ479" i="1"/>
  <c r="AJ450" i="1"/>
  <c r="AJ421" i="1"/>
  <c r="AJ396" i="1"/>
  <c r="AJ364" i="1"/>
  <c r="AJ332" i="1"/>
  <c r="AJ300" i="1"/>
  <c r="AJ219" i="1"/>
  <c r="AJ187" i="1"/>
  <c r="AJ152" i="1"/>
  <c r="AJ121" i="1"/>
  <c r="AJ58" i="1"/>
  <c r="AJ29" i="1"/>
  <c r="AJ478" i="1"/>
  <c r="AJ357" i="1"/>
  <c r="AJ212" i="1"/>
  <c r="AJ179" i="1"/>
  <c r="AN179" i="1" s="1"/>
  <c r="AJ554" i="1"/>
  <c r="AJ511" i="1"/>
  <c r="AJ471" i="1"/>
  <c r="AJ446" i="1"/>
  <c r="AJ413" i="1"/>
  <c r="AJ388" i="1"/>
  <c r="AJ356" i="1"/>
  <c r="AJ324" i="1"/>
  <c r="AJ291" i="1"/>
  <c r="AJ211" i="1"/>
  <c r="AJ178" i="1"/>
  <c r="AJ144" i="1"/>
  <c r="AJ89" i="1"/>
  <c r="AJ49" i="1"/>
  <c r="AJ25" i="1"/>
  <c r="AJ553" i="1"/>
  <c r="AJ510" i="1"/>
  <c r="AJ470" i="1"/>
  <c r="AJ438" i="1"/>
  <c r="AJ175" i="1"/>
  <c r="AJ381" i="1"/>
  <c r="AJ349" i="1"/>
  <c r="AJ317" i="1"/>
  <c r="AJ284" i="1"/>
  <c r="AJ204" i="1"/>
  <c r="AJ169" i="1"/>
  <c r="AJ137" i="1"/>
  <c r="AJ88" i="1"/>
  <c r="AJ42" i="1"/>
  <c r="AJ18" i="1"/>
  <c r="AJ546" i="1"/>
  <c r="AJ503" i="1"/>
  <c r="AJ463" i="1"/>
  <c r="AJ437" i="1"/>
  <c r="AJ299" i="1"/>
  <c r="AJ380" i="1"/>
  <c r="AJ348" i="1"/>
  <c r="AJ316" i="1"/>
  <c r="AJ283" i="1"/>
  <c r="AJ203" i="1"/>
  <c r="AJ168" i="1"/>
  <c r="AJ136" i="1"/>
  <c r="AJ82" i="1"/>
  <c r="AJ41" i="1"/>
  <c r="AJ17" i="1"/>
  <c r="AJ545" i="1"/>
  <c r="AJ502" i="1"/>
  <c r="AJ462" i="1"/>
  <c r="AJ430" i="1"/>
  <c r="AJ401" i="1"/>
  <c r="AJ373" i="1"/>
  <c r="AJ341" i="1"/>
  <c r="AJ309" i="1"/>
  <c r="AJ275" i="1"/>
  <c r="AJ196" i="1"/>
  <c r="AJ161" i="1"/>
  <c r="AJ130" i="1"/>
  <c r="AJ81" i="1"/>
  <c r="AJ37" i="1"/>
  <c r="AJ10" i="1"/>
  <c r="AJ538" i="1"/>
  <c r="AJ487" i="1"/>
  <c r="AJ455" i="1"/>
  <c r="AJ429" i="1"/>
  <c r="AJ529" i="1"/>
  <c r="AJ372" i="1"/>
  <c r="AJ340" i="1"/>
  <c r="AJ308" i="1"/>
  <c r="AJ227" i="1"/>
  <c r="AJ195" i="1"/>
  <c r="AJ160" i="1"/>
  <c r="AN160" i="1" s="1"/>
  <c r="AJ129" i="1"/>
  <c r="AJ74" i="1"/>
  <c r="AJ34" i="1"/>
  <c r="AJ9" i="1"/>
  <c r="AJ552" i="1"/>
  <c r="AJ544" i="1"/>
  <c r="AJ536" i="1"/>
  <c r="AJ525" i="1"/>
  <c r="AJ517" i="1"/>
  <c r="AJ509" i="1"/>
  <c r="AJ501" i="1"/>
  <c r="AJ493" i="1"/>
  <c r="AJ485" i="1"/>
  <c r="AJ477" i="1"/>
  <c r="AJ469" i="1"/>
  <c r="AJ461" i="1"/>
  <c r="AJ453" i="1"/>
  <c r="AJ444" i="1"/>
  <c r="AJ436" i="1"/>
  <c r="AJ428" i="1"/>
  <c r="AJ420" i="1"/>
  <c r="AJ412" i="1"/>
  <c r="AJ407" i="1"/>
  <c r="AJ528" i="1"/>
  <c r="AJ395" i="1"/>
  <c r="AJ387" i="1"/>
  <c r="AJ379" i="1"/>
  <c r="AJ371" i="1"/>
  <c r="AJ363" i="1"/>
  <c r="AJ355" i="1"/>
  <c r="AJ347" i="1"/>
  <c r="AJ339" i="1"/>
  <c r="AJ331" i="1"/>
  <c r="AJ323" i="1"/>
  <c r="AJ315" i="1"/>
  <c r="AJ307" i="1"/>
  <c r="AJ298" i="1"/>
  <c r="AJ290" i="1"/>
  <c r="AJ282" i="1"/>
  <c r="AJ274" i="1"/>
  <c r="AJ266" i="1"/>
  <c r="AJ258" i="1"/>
  <c r="AJ250" i="1"/>
  <c r="AJ242" i="1"/>
  <c r="AJ234" i="1"/>
  <c r="AJ226" i="1"/>
  <c r="AJ218" i="1"/>
  <c r="AJ210" i="1"/>
  <c r="AN210" i="1" s="1"/>
  <c r="AJ202" i="1"/>
  <c r="AJ194" i="1"/>
  <c r="AJ186" i="1"/>
  <c r="AJ177" i="1"/>
  <c r="AJ167" i="1"/>
  <c r="AJ158" i="1"/>
  <c r="AJ151" i="1"/>
  <c r="AN151" i="1" s="1"/>
  <c r="AJ143" i="1"/>
  <c r="AJ135" i="1"/>
  <c r="AJ128" i="1"/>
  <c r="AJ120" i="1"/>
  <c r="AJ112" i="1"/>
  <c r="AJ104" i="1"/>
  <c r="AJ95" i="1"/>
  <c r="AJ87" i="1"/>
  <c r="AJ80" i="1"/>
  <c r="AJ72" i="1"/>
  <c r="AJ64" i="1"/>
  <c r="AJ56" i="1"/>
  <c r="AJ48" i="1"/>
  <c r="AJ40" i="1"/>
  <c r="AJ32" i="1"/>
  <c r="AJ24" i="1"/>
  <c r="AJ16" i="1"/>
  <c r="AJ8" i="1"/>
  <c r="AJ551" i="1"/>
  <c r="AJ543" i="1"/>
  <c r="AJ535" i="1"/>
  <c r="AJ524" i="1"/>
  <c r="AJ516" i="1"/>
  <c r="AJ508" i="1"/>
  <c r="AJ500" i="1"/>
  <c r="AJ492" i="1"/>
  <c r="AJ484" i="1"/>
  <c r="AJ476" i="1"/>
  <c r="AJ468" i="1"/>
  <c r="AJ460" i="1"/>
  <c r="AJ452" i="1"/>
  <c r="AJ443" i="1"/>
  <c r="AJ435" i="1"/>
  <c r="AJ427" i="1"/>
  <c r="AJ419" i="1"/>
  <c r="AJ411" i="1"/>
  <c r="AJ406" i="1"/>
  <c r="AJ527" i="1"/>
  <c r="AJ394" i="1"/>
  <c r="AJ386" i="1"/>
  <c r="AJ378" i="1"/>
  <c r="AJ370" i="1"/>
  <c r="AJ362" i="1"/>
  <c r="AJ354" i="1"/>
  <c r="AJ346" i="1"/>
  <c r="AJ338" i="1"/>
  <c r="AJ330" i="1"/>
  <c r="AJ322" i="1"/>
  <c r="AJ314" i="1"/>
  <c r="AJ306" i="1"/>
  <c r="AJ297" i="1"/>
  <c r="AJ289" i="1"/>
  <c r="AJ281" i="1"/>
  <c r="AJ273" i="1"/>
  <c r="AJ265" i="1"/>
  <c r="AJ257" i="1"/>
  <c r="AJ249" i="1"/>
  <c r="AJ241" i="1"/>
  <c r="AJ233" i="1"/>
  <c r="AJ225" i="1"/>
  <c r="AJ217" i="1"/>
  <c r="AJ209" i="1"/>
  <c r="AJ201" i="1"/>
  <c r="AJ193" i="1"/>
  <c r="AJ184" i="1"/>
  <c r="AN184" i="1" s="1"/>
  <c r="AJ174" i="1"/>
  <c r="AJ166" i="1"/>
  <c r="AN166" i="1" s="1"/>
  <c r="AJ157" i="1"/>
  <c r="AJ150" i="1"/>
  <c r="AN150" i="1" s="1"/>
  <c r="AJ142" i="1"/>
  <c r="AJ134" i="1"/>
  <c r="AJ127" i="1"/>
  <c r="AJ119" i="1"/>
  <c r="AJ111" i="1"/>
  <c r="AJ102" i="1"/>
  <c r="AN102" i="1" s="1"/>
  <c r="AJ94" i="1"/>
  <c r="AJ86" i="1"/>
  <c r="AN86" i="1" s="1"/>
  <c r="AJ79" i="1"/>
  <c r="AJ71" i="1"/>
  <c r="AJ63" i="1"/>
  <c r="AJ55" i="1"/>
  <c r="AJ47" i="1"/>
  <c r="AJ39" i="1"/>
  <c r="AJ31" i="1"/>
  <c r="AN31" i="1" s="1"/>
  <c r="AJ23" i="1"/>
  <c r="AJ15" i="1"/>
  <c r="AJ7" i="1"/>
  <c r="AJ519" i="1"/>
  <c r="AJ268" i="1"/>
  <c r="AJ252" i="1"/>
  <c r="AN252" i="1" s="1"/>
  <c r="AJ114" i="1"/>
  <c r="AJ251" i="1"/>
  <c r="AJ550" i="1"/>
  <c r="AJ542" i="1"/>
  <c r="AJ534" i="1"/>
  <c r="AN534" i="1" s="1"/>
  <c r="AJ523" i="1"/>
  <c r="AJ515" i="1"/>
  <c r="AJ507" i="1"/>
  <c r="AJ499" i="1"/>
  <c r="AJ491" i="1"/>
  <c r="AJ483" i="1"/>
  <c r="AJ475" i="1"/>
  <c r="AJ467" i="1"/>
  <c r="AJ459" i="1"/>
  <c r="AN459" i="1" s="1"/>
  <c r="AJ451" i="1"/>
  <c r="AJ442" i="1"/>
  <c r="AJ434" i="1"/>
  <c r="AJ426" i="1"/>
  <c r="AJ418" i="1"/>
  <c r="AJ410" i="1"/>
  <c r="AJ405" i="1"/>
  <c r="AJ185" i="1"/>
  <c r="AJ393" i="1"/>
  <c r="AJ385" i="1"/>
  <c r="AJ377" i="1"/>
  <c r="AJ369" i="1"/>
  <c r="AJ361" i="1"/>
  <c r="AJ353" i="1"/>
  <c r="AJ345" i="1"/>
  <c r="AJ337" i="1"/>
  <c r="AJ329" i="1"/>
  <c r="AJ321" i="1"/>
  <c r="AJ313" i="1"/>
  <c r="AJ305" i="1"/>
  <c r="AN305" i="1" s="1"/>
  <c r="AJ296" i="1"/>
  <c r="AJ288" i="1"/>
  <c r="AJ280" i="1"/>
  <c r="AJ272" i="1"/>
  <c r="AJ264" i="1"/>
  <c r="AJ256" i="1"/>
  <c r="AJ248" i="1"/>
  <c r="AJ240" i="1"/>
  <c r="AJ232" i="1"/>
  <c r="AJ224" i="1"/>
  <c r="AJ216" i="1"/>
  <c r="AJ208" i="1"/>
  <c r="AJ200" i="1"/>
  <c r="AJ192" i="1"/>
  <c r="AJ183" i="1"/>
  <c r="AN183" i="1" s="1"/>
  <c r="AJ173" i="1"/>
  <c r="AN173" i="1" s="1"/>
  <c r="AJ165" i="1"/>
  <c r="AN165" i="1" s="1"/>
  <c r="AJ156" i="1"/>
  <c r="AJ149" i="1"/>
  <c r="AN149" i="1" s="1"/>
  <c r="AJ141" i="1"/>
  <c r="AJ133" i="1"/>
  <c r="AJ126" i="1"/>
  <c r="AJ118" i="1"/>
  <c r="AJ110" i="1"/>
  <c r="AN110" i="1" s="1"/>
  <c r="AJ101" i="1"/>
  <c r="AJ93" i="1"/>
  <c r="AJ85" i="1"/>
  <c r="AJ78" i="1"/>
  <c r="AJ70" i="1"/>
  <c r="AJ62" i="1"/>
  <c r="AJ54" i="1"/>
  <c r="AN54" i="1" s="1"/>
  <c r="AJ46" i="1"/>
  <c r="AN46" i="1" s="1"/>
  <c r="AJ38" i="1"/>
  <c r="AJ30" i="1"/>
  <c r="AJ22" i="1"/>
  <c r="AJ14" i="1"/>
  <c r="AJ6" i="1"/>
  <c r="AJ549" i="1"/>
  <c r="AJ541" i="1"/>
  <c r="AN541" i="1" s="1"/>
  <c r="AJ533" i="1"/>
  <c r="AJ522" i="1"/>
  <c r="AJ514" i="1"/>
  <c r="AJ506" i="1"/>
  <c r="AJ498" i="1"/>
  <c r="AJ490" i="1"/>
  <c r="AN490" i="1" s="1"/>
  <c r="AJ482" i="1"/>
  <c r="AJ474" i="1"/>
  <c r="AJ466" i="1"/>
  <c r="AJ458" i="1"/>
  <c r="AN458" i="1" s="1"/>
  <c r="AJ441" i="1"/>
  <c r="AN441" i="1" s="1"/>
  <c r="AJ433" i="1"/>
  <c r="AJ425" i="1"/>
  <c r="AN425" i="1" s="1"/>
  <c r="AJ417" i="1"/>
  <c r="AN417" i="1" s="1"/>
  <c r="AJ409" i="1"/>
  <c r="AJ404" i="1"/>
  <c r="AJ400" i="1"/>
  <c r="AJ392" i="1"/>
  <c r="AJ384" i="1"/>
  <c r="AJ376" i="1"/>
  <c r="AJ368" i="1"/>
  <c r="AJ360" i="1"/>
  <c r="AJ352" i="1"/>
  <c r="AJ344" i="1"/>
  <c r="AJ336" i="1"/>
  <c r="AJ328" i="1"/>
  <c r="AJ320" i="1"/>
  <c r="AJ312" i="1"/>
  <c r="AJ304" i="1"/>
  <c r="AJ295" i="1"/>
  <c r="AJ287" i="1"/>
  <c r="AJ279" i="1"/>
  <c r="AJ271" i="1"/>
  <c r="AJ263" i="1"/>
  <c r="AJ255" i="1"/>
  <c r="AJ247" i="1"/>
  <c r="AJ239" i="1"/>
  <c r="AJ231" i="1"/>
  <c r="AJ223" i="1"/>
  <c r="AJ215" i="1"/>
  <c r="AN215" i="1" s="1"/>
  <c r="AJ207" i="1"/>
  <c r="AJ199" i="1"/>
  <c r="AJ191" i="1"/>
  <c r="AJ182" i="1"/>
  <c r="AN182" i="1" s="1"/>
  <c r="AJ172" i="1"/>
  <c r="AJ164" i="1"/>
  <c r="AN164" i="1" s="1"/>
  <c r="AJ155" i="1"/>
  <c r="AJ148" i="1"/>
  <c r="AJ140" i="1"/>
  <c r="AN140" i="1" s="1"/>
  <c r="AJ132" i="1"/>
  <c r="AN132" i="1" s="1"/>
  <c r="AJ125" i="1"/>
  <c r="AJ117" i="1"/>
  <c r="AJ109" i="1"/>
  <c r="AJ100" i="1"/>
  <c r="AJ92" i="1"/>
  <c r="AJ84" i="1"/>
  <c r="AJ77" i="1"/>
  <c r="AN77" i="1" s="1"/>
  <c r="AJ69" i="1"/>
  <c r="AJ61" i="1"/>
  <c r="AJ53" i="1"/>
  <c r="AJ45" i="1"/>
  <c r="AJ21" i="1"/>
  <c r="AJ13" i="1"/>
  <c r="AJ5" i="1"/>
  <c r="AJ495" i="1"/>
  <c r="AJ276" i="1"/>
  <c r="AJ260" i="1"/>
  <c r="AJ244" i="1"/>
  <c r="AJ236" i="1"/>
  <c r="AJ228" i="1"/>
  <c r="AN228" i="1" s="1"/>
  <c r="AJ106" i="1"/>
  <c r="AN106" i="1" s="1"/>
  <c r="AJ97" i="1"/>
  <c r="AJ494" i="1"/>
  <c r="AJ267" i="1"/>
  <c r="AJ65" i="1"/>
  <c r="AN65" i="1" s="1"/>
  <c r="AJ548" i="1"/>
  <c r="AN548" i="1" s="1"/>
  <c r="AJ540" i="1"/>
  <c r="AJ532" i="1"/>
  <c r="AN532" i="1" s="1"/>
  <c r="AJ521" i="1"/>
  <c r="AJ513" i="1"/>
  <c r="AJ505" i="1"/>
  <c r="AJ497" i="1"/>
  <c r="AJ489" i="1"/>
  <c r="AJ481" i="1"/>
  <c r="AJ473" i="1"/>
  <c r="AN473" i="1" s="1"/>
  <c r="AJ465" i="1"/>
  <c r="AJ457" i="1"/>
  <c r="AJ449" i="1"/>
  <c r="AJ440" i="1"/>
  <c r="AJ432" i="1"/>
  <c r="AJ424" i="1"/>
  <c r="AN424" i="1" s="1"/>
  <c r="AJ416" i="1"/>
  <c r="AN416" i="1" s="1"/>
  <c r="AJ408" i="1"/>
  <c r="AN408" i="1" s="1"/>
  <c r="AJ403" i="1"/>
  <c r="AJ399" i="1"/>
  <c r="AJ391" i="1"/>
  <c r="AN391" i="1" s="1"/>
  <c r="AJ383" i="1"/>
  <c r="AJ375" i="1"/>
  <c r="AJ367" i="1"/>
  <c r="AJ359" i="1"/>
  <c r="AJ351" i="1"/>
  <c r="AJ335" i="1"/>
  <c r="AN335" i="1" s="1"/>
  <c r="AJ327" i="1"/>
  <c r="AN327" i="1" s="1"/>
  <c r="AJ319" i="1"/>
  <c r="AJ311" i="1"/>
  <c r="AJ303" i="1"/>
  <c r="AJ294" i="1"/>
  <c r="AJ286" i="1"/>
  <c r="AN286" i="1" s="1"/>
  <c r="AJ278" i="1"/>
  <c r="AJ270" i="1"/>
  <c r="AJ262" i="1"/>
  <c r="AJ254" i="1"/>
  <c r="AJ246" i="1"/>
  <c r="AN246" i="1" s="1"/>
  <c r="AJ238" i="1"/>
  <c r="AJ230" i="1"/>
  <c r="AJ222" i="1"/>
  <c r="AJ214" i="1"/>
  <c r="AJ206" i="1"/>
  <c r="AJ198" i="1"/>
  <c r="AJ190" i="1"/>
  <c r="AJ181" i="1"/>
  <c r="AJ171" i="1"/>
  <c r="AJ163" i="1"/>
  <c r="AJ154" i="1"/>
  <c r="AN154" i="1" s="1"/>
  <c r="AJ147" i="1"/>
  <c r="AN147" i="1" s="1"/>
  <c r="AJ139" i="1"/>
  <c r="AJ159" i="1"/>
  <c r="AN159" i="1" s="1"/>
  <c r="AJ124" i="1"/>
  <c r="AN124" i="1" s="1"/>
  <c r="AJ116" i="1"/>
  <c r="AN116" i="1" s="1"/>
  <c r="AJ108" i="1"/>
  <c r="AJ99" i="1"/>
  <c r="AN99" i="1" s="1"/>
  <c r="AJ91" i="1"/>
  <c r="AJ445" i="1"/>
  <c r="AJ76" i="1"/>
  <c r="AN76" i="1" s="1"/>
  <c r="AJ68" i="1"/>
  <c r="AJ60" i="1"/>
  <c r="AJ52" i="1"/>
  <c r="AJ44" i="1"/>
  <c r="AJ36" i="1"/>
  <c r="AJ28" i="1"/>
  <c r="AJ20" i="1"/>
  <c r="AJ12" i="1"/>
  <c r="AN12" i="1" s="1"/>
  <c r="AJ4" i="1"/>
  <c r="AJ518" i="1"/>
  <c r="AJ259" i="1"/>
  <c r="AN259" i="1" s="1"/>
  <c r="AJ243" i="1"/>
  <c r="AJ235" i="1"/>
  <c r="AJ113" i="1"/>
  <c r="AJ105" i="1"/>
  <c r="AJ73" i="1"/>
  <c r="AJ57" i="1"/>
  <c r="AJ555" i="1"/>
  <c r="AJ547" i="1"/>
  <c r="AN547" i="1" s="1"/>
  <c r="AJ539" i="1"/>
  <c r="AJ531" i="1"/>
  <c r="AJ520" i="1"/>
  <c r="AJ512" i="1"/>
  <c r="AJ504" i="1"/>
  <c r="AJ496" i="1"/>
  <c r="AJ488" i="1"/>
  <c r="AJ480" i="1"/>
  <c r="AJ472" i="1"/>
  <c r="AJ464" i="1"/>
  <c r="AJ456" i="1"/>
  <c r="AJ448" i="1"/>
  <c r="AN448" i="1" s="1"/>
  <c r="AJ439" i="1"/>
  <c r="AN439" i="1" s="1"/>
  <c r="AJ431" i="1"/>
  <c r="AJ423" i="1"/>
  <c r="AN423" i="1" s="1"/>
  <c r="AJ415" i="1"/>
  <c r="AN415" i="1" s="1"/>
  <c r="AJ176" i="1"/>
  <c r="AJ402" i="1"/>
  <c r="AJ398" i="1"/>
  <c r="AJ390" i="1"/>
  <c r="AN390" i="1" s="1"/>
  <c r="AJ382" i="1"/>
  <c r="AJ374" i="1"/>
  <c r="AJ366" i="1"/>
  <c r="AN366" i="1" s="1"/>
  <c r="AJ358" i="1"/>
  <c r="AJ350" i="1"/>
  <c r="AJ342" i="1"/>
  <c r="AN342" i="1" s="1"/>
  <c r="AJ334" i="1"/>
  <c r="AJ326" i="1"/>
  <c r="AN326" i="1" s="1"/>
  <c r="AJ318" i="1"/>
  <c r="AN318" i="1" s="1"/>
  <c r="AJ310" i="1"/>
  <c r="AN310" i="1" s="1"/>
  <c r="AJ302" i="1"/>
  <c r="AJ293" i="1"/>
  <c r="AN293" i="1" s="1"/>
  <c r="AJ285" i="1"/>
  <c r="AN285" i="1" s="1"/>
  <c r="AJ277" i="1"/>
  <c r="AN277" i="1" s="1"/>
  <c r="AJ269" i="1"/>
  <c r="AN269" i="1" s="1"/>
  <c r="AJ261" i="1"/>
  <c r="AJ253" i="1"/>
  <c r="AJ245" i="1"/>
  <c r="AJ237" i="1"/>
  <c r="AN237" i="1" s="1"/>
  <c r="AJ229" i="1"/>
  <c r="AJ221" i="1"/>
  <c r="AN221" i="1" s="1"/>
  <c r="AJ213" i="1"/>
  <c r="AJ205" i="1"/>
  <c r="AN205" i="1" s="1"/>
  <c r="AJ197" i="1"/>
  <c r="AJ189" i="1"/>
  <c r="AJ180" i="1"/>
  <c r="AJ170" i="1"/>
  <c r="AJ162" i="1"/>
  <c r="AJ103" i="1"/>
  <c r="AN103" i="1" s="1"/>
  <c r="AJ146" i="1"/>
  <c r="AN146" i="1" s="1"/>
  <c r="AJ138" i="1"/>
  <c r="AJ131" i="1"/>
  <c r="AJ123" i="1"/>
  <c r="AJ115" i="1"/>
  <c r="AJ107" i="1"/>
  <c r="AJ98" i="1"/>
  <c r="AN98" i="1" s="1"/>
  <c r="AJ90" i="1"/>
  <c r="AN90" i="1" s="1"/>
  <c r="AJ83" i="1"/>
  <c r="AJ75" i="1"/>
  <c r="AN75" i="1" s="1"/>
  <c r="AJ67" i="1"/>
  <c r="AJ59" i="1"/>
  <c r="AN59" i="1" s="1"/>
  <c r="AJ51" i="1"/>
  <c r="AJ43" i="1"/>
  <c r="AN43" i="1" s="1"/>
  <c r="AJ35" i="1"/>
  <c r="AJ27" i="1"/>
  <c r="AN27" i="1" s="1"/>
  <c r="AJ19" i="1"/>
  <c r="AJ11" i="1"/>
  <c r="AJ3" i="1"/>
  <c r="AJ2" i="1"/>
  <c r="AF2" i="1"/>
  <c r="AI495" i="1"/>
  <c r="AI89" i="1"/>
  <c r="AI519" i="1"/>
  <c r="AI463" i="1"/>
  <c r="AI365" i="1"/>
  <c r="AI276" i="1"/>
  <c r="AI212" i="1"/>
  <c r="AI130" i="1"/>
  <c r="AI66" i="1"/>
  <c r="AI511" i="1"/>
  <c r="AI455" i="1"/>
  <c r="AI357" i="1"/>
  <c r="AI268" i="1"/>
  <c r="AI204" i="1"/>
  <c r="AI122" i="1"/>
  <c r="AI58" i="1"/>
  <c r="AI505" i="1"/>
  <c r="AI449" i="1"/>
  <c r="AI349" i="1"/>
  <c r="AI260" i="1"/>
  <c r="AI196" i="1"/>
  <c r="AI114" i="1"/>
  <c r="AI50" i="1"/>
  <c r="AI554" i="1"/>
  <c r="AI503" i="1"/>
  <c r="AI447" i="1"/>
  <c r="AI341" i="1"/>
  <c r="AI252" i="1"/>
  <c r="AI179" i="1"/>
  <c r="AI106" i="1"/>
  <c r="AI42" i="1"/>
  <c r="AI546" i="1"/>
  <c r="AI497" i="1"/>
  <c r="AI438" i="1"/>
  <c r="AI333" i="1"/>
  <c r="AI244" i="1"/>
  <c r="AI169" i="1"/>
  <c r="AI97" i="1"/>
  <c r="AI34" i="1"/>
  <c r="AI538" i="1"/>
  <c r="AI430" i="1"/>
  <c r="AI325" i="1"/>
  <c r="AI236" i="1"/>
  <c r="AI161" i="1"/>
  <c r="AI26" i="1"/>
  <c r="AI530" i="1"/>
  <c r="AI479" i="1"/>
  <c r="AI422" i="1"/>
  <c r="AI309" i="1"/>
  <c r="AI228" i="1"/>
  <c r="AI153" i="1"/>
  <c r="AI82" i="1"/>
  <c r="AI18" i="1"/>
  <c r="AI521" i="1"/>
  <c r="AI471" i="1"/>
  <c r="AI373" i="1"/>
  <c r="AI284" i="1"/>
  <c r="AI220" i="1"/>
  <c r="AI145" i="1"/>
  <c r="AI74" i="1"/>
  <c r="AI10" i="1"/>
  <c r="AI414" i="1"/>
  <c r="AI389" i="1"/>
  <c r="AI188" i="1"/>
  <c r="AI553" i="1"/>
  <c r="AI545" i="1"/>
  <c r="AI537" i="1"/>
  <c r="AI526" i="1"/>
  <c r="AI518" i="1"/>
  <c r="AI510" i="1"/>
  <c r="AI502" i="1"/>
  <c r="AI494" i="1"/>
  <c r="AI486" i="1"/>
  <c r="AI478" i="1"/>
  <c r="AI470" i="1"/>
  <c r="AI462" i="1"/>
  <c r="AI454" i="1"/>
  <c r="AI446" i="1"/>
  <c r="AI437" i="1"/>
  <c r="AI429" i="1"/>
  <c r="AI421" i="1"/>
  <c r="AI413" i="1"/>
  <c r="AI299" i="1"/>
  <c r="AI529" i="1"/>
  <c r="AI396" i="1"/>
  <c r="AI388" i="1"/>
  <c r="AI380" i="1"/>
  <c r="AI372" i="1"/>
  <c r="AI364" i="1"/>
  <c r="AI356" i="1"/>
  <c r="AI348" i="1"/>
  <c r="AI340" i="1"/>
  <c r="AI332" i="1"/>
  <c r="AI324" i="1"/>
  <c r="AI316" i="1"/>
  <c r="AI308" i="1"/>
  <c r="AI300" i="1"/>
  <c r="AI291" i="1"/>
  <c r="AI283" i="1"/>
  <c r="AI275" i="1"/>
  <c r="AI267" i="1"/>
  <c r="AI259" i="1"/>
  <c r="AI251" i="1"/>
  <c r="AI243" i="1"/>
  <c r="AI235" i="1"/>
  <c r="AI227" i="1"/>
  <c r="AI219" i="1"/>
  <c r="AI211" i="1"/>
  <c r="AI203" i="1"/>
  <c r="AI195" i="1"/>
  <c r="AI187" i="1"/>
  <c r="AI178" i="1"/>
  <c r="AI168" i="1"/>
  <c r="AI160" i="1"/>
  <c r="AI152" i="1"/>
  <c r="AI144" i="1"/>
  <c r="AI136" i="1"/>
  <c r="AI129" i="1"/>
  <c r="AI121" i="1"/>
  <c r="AI113" i="1"/>
  <c r="AI105" i="1"/>
  <c r="AI96" i="1"/>
  <c r="AI88" i="1"/>
  <c r="AI81" i="1"/>
  <c r="AI73" i="1"/>
  <c r="AI65" i="1"/>
  <c r="AI57" i="1"/>
  <c r="AI49" i="1"/>
  <c r="AI41" i="1"/>
  <c r="AI33" i="1"/>
  <c r="AI25" i="1"/>
  <c r="AI17" i="1"/>
  <c r="AI9" i="1"/>
  <c r="AI401" i="1"/>
  <c r="AI292" i="1"/>
  <c r="AI552" i="1"/>
  <c r="AI544" i="1"/>
  <c r="AI536" i="1"/>
  <c r="AI525" i="1"/>
  <c r="AI517" i="1"/>
  <c r="AI509" i="1"/>
  <c r="AI501" i="1"/>
  <c r="AI493" i="1"/>
  <c r="AI485" i="1"/>
  <c r="AI469" i="1"/>
  <c r="AI461" i="1"/>
  <c r="AI453" i="1"/>
  <c r="AI444" i="1"/>
  <c r="AI436" i="1"/>
  <c r="AI428" i="1"/>
  <c r="AI420" i="1"/>
  <c r="AI412" i="1"/>
  <c r="AI407" i="1"/>
  <c r="AI528" i="1"/>
  <c r="AI395" i="1"/>
  <c r="AI387" i="1"/>
  <c r="AI379" i="1"/>
  <c r="AI371" i="1"/>
  <c r="AI363" i="1"/>
  <c r="AI355" i="1"/>
  <c r="AI347" i="1"/>
  <c r="AI339" i="1"/>
  <c r="AI331" i="1"/>
  <c r="AI323" i="1"/>
  <c r="AI315" i="1"/>
  <c r="AI307" i="1"/>
  <c r="AI298" i="1"/>
  <c r="AI290" i="1"/>
  <c r="AI282" i="1"/>
  <c r="AI274" i="1"/>
  <c r="AI266" i="1"/>
  <c r="AI258" i="1"/>
  <c r="AI250" i="1"/>
  <c r="AI242" i="1"/>
  <c r="AI234" i="1"/>
  <c r="AI226" i="1"/>
  <c r="AI218" i="1"/>
  <c r="AI210" i="1"/>
  <c r="AI202" i="1"/>
  <c r="AI194" i="1"/>
  <c r="AI186" i="1"/>
  <c r="AI177" i="1"/>
  <c r="AI167" i="1"/>
  <c r="AI158" i="1"/>
  <c r="AI151" i="1"/>
  <c r="AI143" i="1"/>
  <c r="AI135" i="1"/>
  <c r="AI128" i="1"/>
  <c r="AI120" i="1"/>
  <c r="AI112" i="1"/>
  <c r="AI104" i="1"/>
  <c r="AI95" i="1"/>
  <c r="AI87" i="1"/>
  <c r="AI80" i="1"/>
  <c r="AI72" i="1"/>
  <c r="AI64" i="1"/>
  <c r="AI56" i="1"/>
  <c r="AI48" i="1"/>
  <c r="AI40" i="1"/>
  <c r="AI32" i="1"/>
  <c r="AI24" i="1"/>
  <c r="AI16" i="1"/>
  <c r="AI8" i="1"/>
  <c r="AI487" i="1"/>
  <c r="AI175" i="1"/>
  <c r="AI397" i="1"/>
  <c r="AI381" i="1"/>
  <c r="AI317" i="1"/>
  <c r="AI301" i="1"/>
  <c r="AI137" i="1"/>
  <c r="AI551" i="1"/>
  <c r="AI543" i="1"/>
  <c r="AI535" i="1"/>
  <c r="AI524" i="1"/>
  <c r="AI516" i="1"/>
  <c r="AI508" i="1"/>
  <c r="AI500" i="1"/>
  <c r="AI492" i="1"/>
  <c r="AI484" i="1"/>
  <c r="AI476" i="1"/>
  <c r="AI468" i="1"/>
  <c r="AI460" i="1"/>
  <c r="AI452" i="1"/>
  <c r="AI443" i="1"/>
  <c r="AI435" i="1"/>
  <c r="AI427" i="1"/>
  <c r="AI419" i="1"/>
  <c r="AI411" i="1"/>
  <c r="AI406" i="1"/>
  <c r="AI527" i="1"/>
  <c r="AI394" i="1"/>
  <c r="AI386" i="1"/>
  <c r="AI378" i="1"/>
  <c r="AI370" i="1"/>
  <c r="AI362" i="1"/>
  <c r="AI354" i="1"/>
  <c r="AI346" i="1"/>
  <c r="AI338" i="1"/>
  <c r="AI330" i="1"/>
  <c r="AI322" i="1"/>
  <c r="AI314" i="1"/>
  <c r="AI306" i="1"/>
  <c r="AI297" i="1"/>
  <c r="AI289" i="1"/>
  <c r="AI281" i="1"/>
  <c r="AI273" i="1"/>
  <c r="AI265" i="1"/>
  <c r="AI257" i="1"/>
  <c r="AI249" i="1"/>
  <c r="AI241" i="1"/>
  <c r="AI233" i="1"/>
  <c r="AI225" i="1"/>
  <c r="AI217" i="1"/>
  <c r="AI209" i="1"/>
  <c r="AI201" i="1"/>
  <c r="AI193" i="1"/>
  <c r="AI184" i="1"/>
  <c r="AI174" i="1"/>
  <c r="AI166" i="1"/>
  <c r="AI157" i="1"/>
  <c r="AI150" i="1"/>
  <c r="AI142" i="1"/>
  <c r="AI134" i="1"/>
  <c r="AI127" i="1"/>
  <c r="AI119" i="1"/>
  <c r="AI111" i="1"/>
  <c r="AI102" i="1"/>
  <c r="AI94" i="1"/>
  <c r="AI86" i="1"/>
  <c r="AI79" i="1"/>
  <c r="AI71" i="1"/>
  <c r="AI63" i="1"/>
  <c r="AI55" i="1"/>
  <c r="AI47" i="1"/>
  <c r="AI39" i="1"/>
  <c r="AI31" i="1"/>
  <c r="AI15" i="1"/>
  <c r="AI7" i="1"/>
  <c r="AI550" i="1"/>
  <c r="AI542" i="1"/>
  <c r="AI534" i="1"/>
  <c r="AI523" i="1"/>
  <c r="AI515" i="1"/>
  <c r="AI507" i="1"/>
  <c r="AI499" i="1"/>
  <c r="AI491" i="1"/>
  <c r="AI483" i="1"/>
  <c r="AI475" i="1"/>
  <c r="AI467" i="1"/>
  <c r="AI459" i="1"/>
  <c r="AI451" i="1"/>
  <c r="AI442" i="1"/>
  <c r="AI434" i="1"/>
  <c r="AI426" i="1"/>
  <c r="AI418" i="1"/>
  <c r="AI410" i="1"/>
  <c r="AI405" i="1"/>
  <c r="AI185" i="1"/>
  <c r="AI393" i="1"/>
  <c r="AI385" i="1"/>
  <c r="AI377" i="1"/>
  <c r="AI369" i="1"/>
  <c r="AI361" i="1"/>
  <c r="AI353" i="1"/>
  <c r="AI345" i="1"/>
  <c r="AI337" i="1"/>
  <c r="AI329" i="1"/>
  <c r="AI321" i="1"/>
  <c r="AI313" i="1"/>
  <c r="AI305" i="1"/>
  <c r="AI296" i="1"/>
  <c r="AI288" i="1"/>
  <c r="AI280" i="1"/>
  <c r="AI272" i="1"/>
  <c r="AI264" i="1"/>
  <c r="AI256" i="1"/>
  <c r="AI248" i="1"/>
  <c r="AI240" i="1"/>
  <c r="AI232" i="1"/>
  <c r="AI224" i="1"/>
  <c r="AI216" i="1"/>
  <c r="AI208" i="1"/>
  <c r="AI200" i="1"/>
  <c r="AI192" i="1"/>
  <c r="AI183" i="1"/>
  <c r="AI173" i="1"/>
  <c r="AI165" i="1"/>
  <c r="AI156" i="1"/>
  <c r="AI149" i="1"/>
  <c r="AI141" i="1"/>
  <c r="AI133" i="1"/>
  <c r="AI126" i="1"/>
  <c r="AI118" i="1"/>
  <c r="AI110" i="1"/>
  <c r="AI101" i="1"/>
  <c r="AI93" i="1"/>
  <c r="AI85" i="1"/>
  <c r="AI78" i="1"/>
  <c r="AI70" i="1"/>
  <c r="AI62" i="1"/>
  <c r="AI54" i="1"/>
  <c r="AI46" i="1"/>
  <c r="AI38" i="1"/>
  <c r="AI30" i="1"/>
  <c r="AI14" i="1"/>
  <c r="AI6" i="1"/>
  <c r="AI549" i="1"/>
  <c r="AI541" i="1"/>
  <c r="AI533" i="1"/>
  <c r="AI522" i="1"/>
  <c r="AI514" i="1"/>
  <c r="AI506" i="1"/>
  <c r="AI498" i="1"/>
  <c r="AI490" i="1"/>
  <c r="AI482" i="1"/>
  <c r="AI474" i="1"/>
  <c r="AI466" i="1"/>
  <c r="AI458" i="1"/>
  <c r="AI450" i="1"/>
  <c r="AI441" i="1"/>
  <c r="AI433" i="1"/>
  <c r="AI425" i="1"/>
  <c r="AI417" i="1"/>
  <c r="AI409" i="1"/>
  <c r="AI404" i="1"/>
  <c r="AI400" i="1"/>
  <c r="AI392" i="1"/>
  <c r="AI384" i="1"/>
  <c r="AI376" i="1"/>
  <c r="AI368" i="1"/>
  <c r="AI360" i="1"/>
  <c r="AI352" i="1"/>
  <c r="AI344" i="1"/>
  <c r="AI336" i="1"/>
  <c r="AI328" i="1"/>
  <c r="AI320" i="1"/>
  <c r="AI312" i="1"/>
  <c r="AI304" i="1"/>
  <c r="AI295" i="1"/>
  <c r="AI287" i="1"/>
  <c r="AI279" i="1"/>
  <c r="AI271" i="1"/>
  <c r="AI263" i="1"/>
  <c r="AI255" i="1"/>
  <c r="AI247" i="1"/>
  <c r="AI239" i="1"/>
  <c r="AI231" i="1"/>
  <c r="AI223" i="1"/>
  <c r="AI215" i="1"/>
  <c r="AI207" i="1"/>
  <c r="AI199" i="1"/>
  <c r="AI191" i="1"/>
  <c r="AI182" i="1"/>
  <c r="AI172" i="1"/>
  <c r="AI164" i="1"/>
  <c r="AI155" i="1"/>
  <c r="AI148" i="1"/>
  <c r="AI140" i="1"/>
  <c r="AI132" i="1"/>
  <c r="AI125" i="1"/>
  <c r="AI117" i="1"/>
  <c r="AI109" i="1"/>
  <c r="AI100" i="1"/>
  <c r="AI92" i="1"/>
  <c r="AI84" i="1"/>
  <c r="AI77" i="1"/>
  <c r="AI69" i="1"/>
  <c r="AI61" i="1"/>
  <c r="AI53" i="1"/>
  <c r="AI45" i="1"/>
  <c r="AI37" i="1"/>
  <c r="AI29" i="1"/>
  <c r="AI21" i="1"/>
  <c r="AI5" i="1"/>
  <c r="AI2" i="1"/>
  <c r="AI548" i="1"/>
  <c r="AI540" i="1"/>
  <c r="AI532" i="1"/>
  <c r="AI513" i="1"/>
  <c r="AI489" i="1"/>
  <c r="AI481" i="1"/>
  <c r="AI473" i="1"/>
  <c r="AI465" i="1"/>
  <c r="AI457" i="1"/>
  <c r="AI440" i="1"/>
  <c r="AI432" i="1"/>
  <c r="AI424" i="1"/>
  <c r="AI416" i="1"/>
  <c r="AI408" i="1"/>
  <c r="AI403" i="1"/>
  <c r="AI399" i="1"/>
  <c r="AI391" i="1"/>
  <c r="AI383" i="1"/>
  <c r="AI375" i="1"/>
  <c r="AI367" i="1"/>
  <c r="AI359" i="1"/>
  <c r="AI351" i="1"/>
  <c r="AI335" i="1"/>
  <c r="AI327" i="1"/>
  <c r="AI319" i="1"/>
  <c r="AI311" i="1"/>
  <c r="AI303" i="1"/>
  <c r="AI294" i="1"/>
  <c r="AI286" i="1"/>
  <c r="AI278" i="1"/>
  <c r="AI270" i="1"/>
  <c r="AI262" i="1"/>
  <c r="AI254" i="1"/>
  <c r="AI246" i="1"/>
  <c r="AI238" i="1"/>
  <c r="AI230" i="1"/>
  <c r="AI222" i="1"/>
  <c r="AI214" i="1"/>
  <c r="AI206" i="1"/>
  <c r="AI198" i="1"/>
  <c r="AI190" i="1"/>
  <c r="AI181" i="1"/>
  <c r="AI171" i="1"/>
  <c r="AI163" i="1"/>
  <c r="AI154" i="1"/>
  <c r="AI147" i="1"/>
  <c r="AI139" i="1"/>
  <c r="AI159" i="1"/>
  <c r="AI124" i="1"/>
  <c r="AI116" i="1"/>
  <c r="AI108" i="1"/>
  <c r="AI99" i="1"/>
  <c r="AI91" i="1"/>
  <c r="AI445" i="1"/>
  <c r="AI76" i="1"/>
  <c r="AI68" i="1"/>
  <c r="AI60" i="1"/>
  <c r="AI52" i="1"/>
  <c r="AI44" i="1"/>
  <c r="AI36" i="1"/>
  <c r="AI28" i="1"/>
  <c r="AI20" i="1"/>
  <c r="AI555" i="1"/>
  <c r="AI547" i="1"/>
  <c r="AI539" i="1"/>
  <c r="AI531" i="1"/>
  <c r="AI520" i="1"/>
  <c r="AI512" i="1"/>
  <c r="AI504" i="1"/>
  <c r="AI496" i="1"/>
  <c r="AI488" i="1"/>
  <c r="AI480" i="1"/>
  <c r="AI472" i="1"/>
  <c r="AI464" i="1"/>
  <c r="AI456" i="1"/>
  <c r="AI448" i="1"/>
  <c r="AI439" i="1"/>
  <c r="AI431" i="1"/>
  <c r="AI423" i="1"/>
  <c r="AI415" i="1"/>
  <c r="AI176" i="1"/>
  <c r="AI402" i="1"/>
  <c r="AI398" i="1"/>
  <c r="AI390" i="1"/>
  <c r="AI382" i="1"/>
  <c r="AI374" i="1"/>
  <c r="AI366" i="1"/>
  <c r="AI358" i="1"/>
  <c r="AI350" i="1"/>
  <c r="AI342" i="1"/>
  <c r="AI334" i="1"/>
  <c r="AI326" i="1"/>
  <c r="AI318" i="1"/>
  <c r="AI310" i="1"/>
  <c r="AI302" i="1"/>
  <c r="AI293" i="1"/>
  <c r="AI285" i="1"/>
  <c r="AI277" i="1"/>
  <c r="AI269" i="1"/>
  <c r="AI261" i="1"/>
  <c r="AI253" i="1"/>
  <c r="AI245" i="1"/>
  <c r="AI237" i="1"/>
  <c r="AI229" i="1"/>
  <c r="AI221" i="1"/>
  <c r="AI213" i="1"/>
  <c r="AI205" i="1"/>
  <c r="AI197" i="1"/>
  <c r="AI180" i="1"/>
  <c r="AI170" i="1"/>
  <c r="AI162" i="1"/>
  <c r="AI103" i="1"/>
  <c r="AI146" i="1"/>
  <c r="AI138" i="1"/>
  <c r="AI131" i="1"/>
  <c r="AI123" i="1"/>
  <c r="AI115" i="1"/>
  <c r="AI107" i="1"/>
  <c r="AI98" i="1"/>
  <c r="AI90" i="1"/>
  <c r="AI83" i="1"/>
  <c r="AI75" i="1"/>
  <c r="AI67" i="1"/>
  <c r="AI59" i="1"/>
  <c r="AI51" i="1"/>
  <c r="AI43" i="1"/>
  <c r="AI35" i="1"/>
  <c r="AI27" i="1"/>
  <c r="AE477" i="1"/>
  <c r="AE189" i="1"/>
  <c r="AE23" i="1"/>
  <c r="AF23" i="1" s="1"/>
  <c r="AE13" i="1"/>
  <c r="AF13" i="1" s="1"/>
  <c r="AE4" i="1"/>
  <c r="AE22" i="1"/>
  <c r="AE12" i="1"/>
  <c r="AE3" i="1"/>
  <c r="AE19" i="1"/>
  <c r="AE11" i="1"/>
  <c r="C70" i="5"/>
  <c r="C71" i="5"/>
  <c r="C72" i="5"/>
  <c r="C73" i="5"/>
  <c r="C74" i="5"/>
  <c r="C75" i="5"/>
  <c r="C76" i="5"/>
  <c r="C77" i="5"/>
  <c r="AN44" i="1" l="1"/>
  <c r="AN328" i="1"/>
  <c r="AN418" i="1"/>
  <c r="AN281" i="1"/>
  <c r="AN406" i="1"/>
  <c r="AN186" i="1"/>
  <c r="AN470" i="1"/>
  <c r="AN190" i="1"/>
  <c r="AN344" i="1"/>
  <c r="AN248" i="1"/>
  <c r="AN313" i="1"/>
  <c r="AN377" i="1"/>
  <c r="AN194" i="1"/>
  <c r="AN492" i="1"/>
  <c r="AN429" i="1"/>
  <c r="AN6" i="1"/>
  <c r="AN461" i="1"/>
  <c r="AN20" i="1"/>
  <c r="AN214" i="1"/>
  <c r="AN45" i="1"/>
  <c r="AN239" i="1"/>
  <c r="AN368" i="1"/>
  <c r="AN407" i="1"/>
  <c r="AN18" i="1"/>
  <c r="AN312" i="1"/>
  <c r="AN22" i="1"/>
  <c r="AN216" i="1"/>
  <c r="AN405" i="1"/>
  <c r="AN36" i="1"/>
  <c r="AN230" i="1"/>
  <c r="AN338" i="1"/>
  <c r="AN363" i="1"/>
  <c r="AN308" i="1"/>
  <c r="AN23" i="1"/>
  <c r="AN267" i="1"/>
  <c r="AN276" i="1"/>
  <c r="AN522" i="1"/>
  <c r="AN38" i="1"/>
  <c r="AN48" i="1"/>
  <c r="AN177" i="1"/>
  <c r="AN242" i="1"/>
  <c r="AN428" i="1"/>
  <c r="AN9" i="1"/>
  <c r="AN299" i="1"/>
  <c r="AN137" i="1"/>
  <c r="AN178" i="1"/>
  <c r="AN396" i="1"/>
  <c r="AN505" i="1"/>
  <c r="AN400" i="1"/>
  <c r="AN426" i="1"/>
  <c r="AN491" i="1"/>
  <c r="AN225" i="1"/>
  <c r="AN120" i="1"/>
  <c r="AN250" i="1"/>
  <c r="AN315" i="1"/>
  <c r="AN379" i="1"/>
  <c r="AN436" i="1"/>
  <c r="AN501" i="1"/>
  <c r="AN81" i="1"/>
  <c r="AN401" i="1"/>
  <c r="AN136" i="1"/>
  <c r="AN437" i="1"/>
  <c r="AN325" i="1"/>
  <c r="AN97" i="1"/>
  <c r="AN5" i="1"/>
  <c r="AN84" i="1"/>
  <c r="AN404" i="1"/>
  <c r="AN499" i="1"/>
  <c r="AN114" i="1"/>
  <c r="AN362" i="1"/>
  <c r="AN444" i="1"/>
  <c r="AN74" i="1"/>
  <c r="AN430" i="1"/>
  <c r="AN168" i="1"/>
  <c r="AN510" i="1"/>
  <c r="AN291" i="1"/>
  <c r="AN152" i="1"/>
  <c r="AN486" i="1"/>
  <c r="AN220" i="1"/>
  <c r="AN155" i="1"/>
  <c r="AN223" i="1"/>
  <c r="AN409" i="1"/>
  <c r="AN62" i="1"/>
  <c r="AN126" i="1"/>
  <c r="AN256" i="1"/>
  <c r="AN321" i="1"/>
  <c r="AN427" i="1"/>
  <c r="AN8" i="1"/>
  <c r="AN135" i="1"/>
  <c r="AN331" i="1"/>
  <c r="AN324" i="1"/>
  <c r="AN479" i="1"/>
  <c r="AN389" i="1"/>
  <c r="AN454" i="1"/>
  <c r="AN360" i="1"/>
  <c r="AN70" i="1"/>
  <c r="AN264" i="1"/>
  <c r="AN55" i="1"/>
  <c r="AN500" i="1"/>
  <c r="AN16" i="1"/>
  <c r="AN143" i="1"/>
  <c r="AN546" i="1"/>
  <c r="AN25" i="1"/>
  <c r="AN219" i="1"/>
  <c r="AN530" i="1"/>
  <c r="AN445" i="1"/>
  <c r="AN109" i="1"/>
  <c r="AN78" i="1"/>
  <c r="AN208" i="1"/>
  <c r="AN185" i="1"/>
  <c r="AN24" i="1"/>
  <c r="AN87" i="1"/>
  <c r="AN282" i="1"/>
  <c r="AN347" i="1"/>
  <c r="AN195" i="1"/>
  <c r="AN487" i="1"/>
  <c r="AN545" i="1"/>
  <c r="AN49" i="1"/>
  <c r="AN113" i="1"/>
  <c r="AN85" i="1"/>
  <c r="AN7" i="1"/>
  <c r="AN71" i="1"/>
  <c r="AN201" i="1"/>
  <c r="AN452" i="1"/>
  <c r="AN516" i="1"/>
  <c r="AN95" i="1"/>
  <c r="AN158" i="1"/>
  <c r="AN226" i="1"/>
  <c r="AN290" i="1"/>
  <c r="AN412" i="1"/>
  <c r="AN227" i="1"/>
  <c r="AN17" i="1"/>
  <c r="AN348" i="1"/>
  <c r="AN89" i="1"/>
  <c r="AN332" i="1"/>
  <c r="AN50" i="1"/>
  <c r="AN489" i="1"/>
  <c r="AN61" i="1"/>
  <c r="AN320" i="1"/>
  <c r="AN156" i="1"/>
  <c r="AN224" i="1"/>
  <c r="AN288" i="1"/>
  <c r="AN527" i="1"/>
  <c r="AN104" i="1"/>
  <c r="AN420" i="1"/>
  <c r="AN380" i="1"/>
  <c r="AN88" i="1"/>
  <c r="AN175" i="1"/>
  <c r="AN446" i="1"/>
  <c r="AN333" i="1"/>
  <c r="AN301" i="1"/>
  <c r="AN2" i="1"/>
  <c r="AN13" i="1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F53" i="5"/>
  <c r="C53" i="5"/>
  <c r="F52" i="5"/>
  <c r="C52" i="5"/>
  <c r="F51" i="5"/>
  <c r="C51" i="5"/>
  <c r="F50" i="5"/>
  <c r="C50" i="5"/>
  <c r="F49" i="5"/>
  <c r="C49" i="5"/>
  <c r="F48" i="5"/>
  <c r="C48" i="5"/>
  <c r="F47" i="5"/>
  <c r="C47" i="5"/>
  <c r="F46" i="5"/>
  <c r="C46" i="5"/>
  <c r="F45" i="5"/>
  <c r="C45" i="5"/>
  <c r="F44" i="5"/>
  <c r="C44" i="5"/>
  <c r="F43" i="5"/>
  <c r="C43" i="5"/>
  <c r="F42" i="5"/>
  <c r="C42" i="5"/>
  <c r="F41" i="5"/>
  <c r="C41" i="5"/>
  <c r="F40" i="5"/>
  <c r="C40" i="5"/>
  <c r="F39" i="5"/>
  <c r="C39" i="5"/>
  <c r="F38" i="5"/>
  <c r="C38" i="5"/>
  <c r="F37" i="5"/>
  <c r="C37" i="5"/>
  <c r="F36" i="5"/>
  <c r="C36" i="5"/>
  <c r="F35" i="5"/>
  <c r="C35" i="5"/>
  <c r="F34" i="5"/>
  <c r="C34" i="5"/>
  <c r="F33" i="5"/>
  <c r="C33" i="5"/>
  <c r="F32" i="5"/>
  <c r="C32" i="5"/>
  <c r="F31" i="5"/>
  <c r="C31" i="5"/>
  <c r="F30" i="5"/>
  <c r="C30" i="5"/>
  <c r="F29" i="5"/>
  <c r="C29" i="5"/>
  <c r="F28" i="5"/>
  <c r="C28" i="5"/>
  <c r="F27" i="5"/>
  <c r="C27" i="5"/>
  <c r="F26" i="5"/>
  <c r="C26" i="5"/>
  <c r="F25" i="5"/>
  <c r="C25" i="5"/>
  <c r="F24" i="5"/>
  <c r="C24" i="5"/>
  <c r="F23" i="5"/>
  <c r="C23" i="5"/>
  <c r="F22" i="5"/>
  <c r="C22" i="5"/>
  <c r="F21" i="5"/>
  <c r="C21" i="5"/>
  <c r="F20" i="5"/>
  <c r="C20" i="5"/>
  <c r="F19" i="5"/>
  <c r="C19" i="5"/>
  <c r="F18" i="5"/>
  <c r="C18" i="5"/>
  <c r="F17" i="5"/>
  <c r="C17" i="5"/>
  <c r="F16" i="5"/>
  <c r="C16" i="5"/>
  <c r="F15" i="5"/>
  <c r="C15" i="5"/>
  <c r="F14" i="5"/>
  <c r="C14" i="5"/>
  <c r="F13" i="5"/>
  <c r="C13" i="5"/>
  <c r="F12" i="5"/>
  <c r="C12" i="5"/>
  <c r="F11" i="5"/>
  <c r="C11" i="5"/>
  <c r="F10" i="5"/>
  <c r="C10" i="5"/>
  <c r="F9" i="5"/>
  <c r="C9" i="5"/>
  <c r="F8" i="5"/>
  <c r="C8" i="5"/>
  <c r="F7" i="5"/>
  <c r="C7" i="5"/>
  <c r="F6" i="5"/>
  <c r="C6" i="5"/>
  <c r="F5" i="5"/>
  <c r="C5" i="5"/>
  <c r="F4" i="5"/>
  <c r="C4" i="5"/>
  <c r="F3" i="5"/>
  <c r="C3" i="5"/>
  <c r="F2" i="5"/>
  <c r="C2" i="5"/>
  <c r="D2" i="5" s="1"/>
  <c r="H1" i="5"/>
  <c r="I1" i="5" s="1"/>
  <c r="AA476" i="1"/>
  <c r="AA467" i="1"/>
  <c r="AA528" i="1"/>
  <c r="H207" i="1"/>
  <c r="E2" i="5" l="1"/>
  <c r="D3" i="5"/>
  <c r="G2" i="5"/>
  <c r="D4" i="5" l="1"/>
  <c r="G3" i="5"/>
  <c r="E3" i="5"/>
  <c r="D5" i="5" l="1"/>
  <c r="G4" i="5"/>
  <c r="E4" i="5"/>
  <c r="G5" i="5" l="1"/>
  <c r="E5" i="5"/>
  <c r="D6" i="5"/>
  <c r="D7" i="5" l="1"/>
  <c r="G6" i="5"/>
  <c r="E6" i="5"/>
  <c r="E7" i="5" l="1"/>
  <c r="G7" i="5"/>
  <c r="D8" i="5"/>
  <c r="G8" i="5" l="1"/>
  <c r="E8" i="5"/>
  <c r="D9" i="5"/>
  <c r="D10" i="5" l="1"/>
  <c r="G9" i="5"/>
  <c r="E9" i="5"/>
  <c r="E10" i="5" l="1"/>
  <c r="D11" i="5"/>
  <c r="G10" i="5"/>
  <c r="D12" i="5" l="1"/>
  <c r="G11" i="5"/>
  <c r="E11" i="5"/>
  <c r="D13" i="5" l="1"/>
  <c r="G12" i="5"/>
  <c r="E12" i="5"/>
  <c r="G13" i="5" l="1"/>
  <c r="E13" i="5"/>
  <c r="D14" i="5"/>
  <c r="D15" i="5" l="1"/>
  <c r="G14" i="5"/>
  <c r="E14" i="5"/>
  <c r="E15" i="5" l="1"/>
  <c r="G15" i="5"/>
  <c r="D16" i="5"/>
  <c r="G16" i="5" l="1"/>
  <c r="E16" i="5"/>
  <c r="D17" i="5"/>
  <c r="E17" i="5" l="1"/>
  <c r="D18" i="5"/>
  <c r="G17" i="5"/>
  <c r="E18" i="5" l="1"/>
  <c r="D19" i="5"/>
  <c r="G18" i="5"/>
  <c r="D20" i="5" l="1"/>
  <c r="G19" i="5"/>
  <c r="E19" i="5"/>
  <c r="D21" i="5" l="1"/>
  <c r="G20" i="5"/>
  <c r="E20" i="5"/>
  <c r="G21" i="5" l="1"/>
  <c r="E21" i="5"/>
  <c r="D22" i="5"/>
  <c r="D23" i="5" l="1"/>
  <c r="G22" i="5"/>
  <c r="E22" i="5"/>
  <c r="E23" i="5" l="1"/>
  <c r="D24" i="5"/>
  <c r="G23" i="5"/>
  <c r="G24" i="5" l="1"/>
  <c r="E24" i="5"/>
  <c r="D25" i="5"/>
  <c r="D26" i="5" l="1"/>
  <c r="G25" i="5"/>
  <c r="E25" i="5"/>
  <c r="E26" i="5" l="1"/>
  <c r="D27" i="5"/>
  <c r="G26" i="5"/>
  <c r="D28" i="5" l="1"/>
  <c r="G27" i="5"/>
  <c r="E27" i="5"/>
  <c r="D29" i="5" l="1"/>
  <c r="G28" i="5"/>
  <c r="E28" i="5"/>
  <c r="G29" i="5" l="1"/>
  <c r="E29" i="5"/>
  <c r="D30" i="5"/>
  <c r="D31" i="5" l="1"/>
  <c r="G30" i="5"/>
  <c r="E30" i="5"/>
  <c r="E31" i="5" l="1"/>
  <c r="D32" i="5"/>
  <c r="G31" i="5"/>
  <c r="G32" i="5" l="1"/>
  <c r="E32" i="5"/>
  <c r="D33" i="5"/>
  <c r="D34" i="5" l="1"/>
  <c r="G33" i="5"/>
  <c r="E33" i="5"/>
  <c r="E34" i="5" l="1"/>
  <c r="D35" i="5"/>
  <c r="G34" i="5"/>
  <c r="D36" i="5" l="1"/>
  <c r="G35" i="5"/>
  <c r="E35" i="5"/>
  <c r="D37" i="5" l="1"/>
  <c r="G36" i="5"/>
  <c r="E36" i="5"/>
  <c r="G37" i="5" l="1"/>
  <c r="E37" i="5"/>
  <c r="D38" i="5"/>
  <c r="D39" i="5" l="1"/>
  <c r="G38" i="5"/>
  <c r="E38" i="5"/>
  <c r="E39" i="5" l="1"/>
  <c r="D40" i="5"/>
  <c r="G39" i="5"/>
  <c r="G40" i="5" l="1"/>
  <c r="E40" i="5"/>
  <c r="D41" i="5"/>
  <c r="D42" i="5" l="1"/>
  <c r="G41" i="5"/>
  <c r="E41" i="5"/>
  <c r="E42" i="5" l="1"/>
  <c r="D43" i="5"/>
  <c r="G42" i="5"/>
  <c r="D44" i="5" l="1"/>
  <c r="G43" i="5"/>
  <c r="E43" i="5"/>
  <c r="D45" i="5" l="1"/>
  <c r="G44" i="5"/>
  <c r="E44" i="5"/>
  <c r="G45" i="5" l="1"/>
  <c r="E45" i="5"/>
  <c r="D46" i="5"/>
  <c r="D47" i="5" l="1"/>
  <c r="G46" i="5"/>
  <c r="E46" i="5"/>
  <c r="E47" i="5" l="1"/>
  <c r="D48" i="5"/>
  <c r="G47" i="5"/>
  <c r="G48" i="5" l="1"/>
  <c r="E48" i="5"/>
  <c r="D49" i="5"/>
  <c r="D50" i="5" l="1"/>
  <c r="G49" i="5"/>
  <c r="E49" i="5"/>
  <c r="E50" i="5" l="1"/>
  <c r="D51" i="5"/>
  <c r="G50" i="5"/>
  <c r="D52" i="5" l="1"/>
  <c r="G51" i="5"/>
  <c r="E51" i="5"/>
  <c r="D53" i="5" l="1"/>
  <c r="G52" i="5"/>
  <c r="E52" i="5"/>
  <c r="G53" i="5" l="1"/>
  <c r="E53" i="5"/>
  <c r="D54" i="5"/>
  <c r="D55" i="5" l="1"/>
  <c r="G54" i="5"/>
  <c r="E54" i="5"/>
  <c r="G55" i="5" l="1"/>
  <c r="E55" i="5"/>
  <c r="D56" i="5"/>
  <c r="D57" i="5" l="1"/>
  <c r="G56" i="5"/>
  <c r="E56" i="5"/>
  <c r="G57" i="5" l="1"/>
  <c r="E57" i="5"/>
  <c r="D58" i="5"/>
  <c r="D59" i="5" l="1"/>
  <c r="G58" i="5"/>
  <c r="E58" i="5"/>
  <c r="G59" i="5" l="1"/>
  <c r="E59" i="5"/>
  <c r="D60" i="5"/>
  <c r="D61" i="5" l="1"/>
  <c r="G60" i="5"/>
  <c r="E60" i="5"/>
  <c r="G61" i="5" l="1"/>
  <c r="E61" i="5"/>
  <c r="D62" i="5"/>
  <c r="D63" i="5" l="1"/>
  <c r="G62" i="5"/>
  <c r="E62" i="5"/>
  <c r="G63" i="5" l="1"/>
  <c r="E63" i="5"/>
  <c r="D64" i="5"/>
  <c r="D65" i="5" l="1"/>
  <c r="G64" i="5"/>
  <c r="E64" i="5"/>
  <c r="G65" i="5" l="1"/>
  <c r="E65" i="5"/>
  <c r="D66" i="5"/>
  <c r="D67" i="5" l="1"/>
  <c r="G66" i="5"/>
  <c r="E66" i="5"/>
  <c r="G67" i="5" l="1"/>
  <c r="E67" i="5"/>
  <c r="D68" i="5"/>
  <c r="D69" i="5" l="1"/>
  <c r="D70" i="5" s="1"/>
  <c r="G68" i="5"/>
  <c r="E68" i="5"/>
  <c r="E70" i="5" l="1"/>
  <c r="G70" i="5"/>
  <c r="D71" i="5"/>
  <c r="G69" i="5"/>
  <c r="E69" i="5"/>
  <c r="E71" i="5" l="1"/>
  <c r="D72" i="5"/>
  <c r="G71" i="5"/>
  <c r="D73" i="5" l="1"/>
  <c r="E72" i="5"/>
  <c r="G72" i="5"/>
  <c r="E73" i="5" l="1"/>
  <c r="G73" i="5"/>
  <c r="D74" i="5"/>
  <c r="E74" i="5" l="1"/>
  <c r="G74" i="5"/>
  <c r="D75" i="5"/>
  <c r="E75" i="5" l="1"/>
  <c r="D76" i="5"/>
  <c r="G75" i="5"/>
  <c r="E76" i="5" l="1"/>
  <c r="G76" i="5"/>
  <c r="D77" i="5"/>
  <c r="D78" i="5" s="1"/>
  <c r="E78" i="5" l="1"/>
  <c r="G78" i="5"/>
  <c r="D79" i="5"/>
  <c r="E77" i="5"/>
  <c r="G77" i="5"/>
  <c r="E79" i="5" l="1"/>
  <c r="D80" i="5"/>
  <c r="G79" i="5"/>
  <c r="E80" i="5" l="1"/>
  <c r="G80" i="5"/>
  <c r="D81" i="5"/>
  <c r="E81" i="5" l="1"/>
  <c r="G81" i="5"/>
  <c r="D82" i="5"/>
  <c r="E82" i="5" l="1"/>
  <c r="G82" i="5"/>
</calcChain>
</file>

<file path=xl/sharedStrings.xml><?xml version="1.0" encoding="utf-8"?>
<sst xmlns="http://schemas.openxmlformats.org/spreadsheetml/2006/main" count="12243" uniqueCount="3460">
  <si>
    <t>REFCODE</t>
  </si>
  <si>
    <t>Formula</t>
  </si>
  <si>
    <t>Study_ID</t>
  </si>
  <si>
    <t>Common Name</t>
  </si>
  <si>
    <t>IUPAC Systematic Name</t>
  </si>
  <si>
    <t>Other Names</t>
  </si>
  <si>
    <t>CSD Refcodes</t>
  </si>
  <si>
    <t>C21 H17 N1 O2 Cl2</t>
  </si>
  <si>
    <t/>
  </si>
  <si>
    <t>ACRDIN</t>
  </si>
  <si>
    <t>C13 H9 N1</t>
  </si>
  <si>
    <t>Acridine</t>
  </si>
  <si>
    <t>ACSALA</t>
  </si>
  <si>
    <t>C9 H8 O4</t>
  </si>
  <si>
    <t>Aspirin</t>
  </si>
  <si>
    <t>2-Acetoxybenzoic acid</t>
  </si>
  <si>
    <t>Acetyl salicylic acid</t>
  </si>
  <si>
    <t>C5 H5 N5</t>
  </si>
  <si>
    <t>Adenine</t>
  </si>
  <si>
    <t>9H-Purin-6-ylamine</t>
  </si>
  <si>
    <t>Adenine; Vitamin B6; 6-aminopurine</t>
  </si>
  <si>
    <t>KOBFUD</t>
  </si>
  <si>
    <t>AFEBUI</t>
  </si>
  <si>
    <t>Dipicolinic Acid</t>
  </si>
  <si>
    <t>Pyridine-2,6-dicarboxylic acid</t>
  </si>
  <si>
    <t>ALOXAN</t>
  </si>
  <si>
    <t>C4 H2 N2 O4</t>
  </si>
  <si>
    <t>Alloxan</t>
  </si>
  <si>
    <t>Pyrimidine-2,4,5,6-tetraone</t>
  </si>
  <si>
    <t>AMBNAC</t>
  </si>
  <si>
    <t>C7 H7 N1 O2</t>
  </si>
  <si>
    <t>p-Aminobenzoic acid</t>
  </si>
  <si>
    <t>4-Aminobenzoic acid</t>
  </si>
  <si>
    <t>AMBZAM</t>
  </si>
  <si>
    <t>4-aminobenzamide</t>
  </si>
  <si>
    <t>AMOXAP</t>
  </si>
  <si>
    <t>C17 H16 N3 O1 Cl1</t>
  </si>
  <si>
    <t>Amoxapine</t>
  </si>
  <si>
    <t>2-Chloro-11-(1-piperazinyl)-dibenz(b,f)(1,4)oxazepine</t>
  </si>
  <si>
    <t>ANTCEN</t>
  </si>
  <si>
    <t>C14 H10</t>
  </si>
  <si>
    <t>Anthracene</t>
  </si>
  <si>
    <t xml:space="preserve"> Anthracene</t>
  </si>
  <si>
    <t>ANTCEN; ANTCEN17; ANTCEN18</t>
  </si>
  <si>
    <t>AVCZPA</t>
  </si>
  <si>
    <t>Carbamazepine picolinamide cocrystal</t>
  </si>
  <si>
    <t>5-carbamoyl-5H-dibenz[b,f]azepine picolinamide</t>
  </si>
  <si>
    <t>AXOSOW</t>
  </si>
  <si>
    <t>C3 H4 O1</t>
  </si>
  <si>
    <t>Propenal</t>
  </si>
  <si>
    <t>BARBAC</t>
  </si>
  <si>
    <t>C4 H4 N2 O3</t>
  </si>
  <si>
    <t>Barbituric Acid</t>
  </si>
  <si>
    <t>pyrimidine-2,4,6-trione</t>
  </si>
  <si>
    <t>BAWNIW</t>
  </si>
  <si>
    <t>Chlorothalonil</t>
  </si>
  <si>
    <t>2,4,5,6-tetrachloro-1,3-dicyanobenzene</t>
  </si>
  <si>
    <t>tetrachloroisophthalonitrile</t>
  </si>
  <si>
    <t>BELBUP</t>
  </si>
  <si>
    <t>Hydroxyazabenzotriazole</t>
  </si>
  <si>
    <t>1-Hydroxy-7-Azabenzotriazole</t>
  </si>
  <si>
    <t>3H-[1,2,3]triazolo[4,5-b]pyridin-3-ol</t>
  </si>
  <si>
    <t>BESKAL</t>
  </si>
  <si>
    <t>C7 H6 O4</t>
  </si>
  <si>
    <t>Gentisic Acid</t>
  </si>
  <si>
    <t>2,5-dihydroxybenzoic acid</t>
  </si>
  <si>
    <t>BICVIS</t>
  </si>
  <si>
    <t>C6 H8 O4</t>
  </si>
  <si>
    <t>DD,LL-lactide</t>
  </si>
  <si>
    <t>rac-3,6-dimethyl-1,4-dioxane-2,5-dione</t>
  </si>
  <si>
    <t>BIFHOP</t>
  </si>
  <si>
    <t>GSK Compund C</t>
  </si>
  <si>
    <t>6-[(5-Chloro-2-([(4-chloro-2-fluorophenyl)methyl]oxy)phenyl)methyl]-2-pyridinecarboxylic acid</t>
  </si>
  <si>
    <t>BIGSUF</t>
  </si>
  <si>
    <t>2-fluorobenzamide</t>
  </si>
  <si>
    <t>BIPYRL</t>
  </si>
  <si>
    <t>C10 H8 N2</t>
  </si>
  <si>
    <t>2,2'-Bipyridyl</t>
  </si>
  <si>
    <t>BISMEV</t>
  </si>
  <si>
    <t>Piracetam</t>
  </si>
  <si>
    <t>2-Oxo-1-pyrrolidinylacetamide</t>
  </si>
  <si>
    <t>BISMEV05; BISMEV; BISMEV02; BISMEV04</t>
  </si>
  <si>
    <t>BOLLIY</t>
  </si>
  <si>
    <t>C6 H8 N2 O2</t>
  </si>
  <si>
    <t>5-Ethyluracil</t>
  </si>
  <si>
    <t>BOLLOE</t>
  </si>
  <si>
    <t xml:space="preserve">C5 H3 N3 O2 </t>
  </si>
  <si>
    <t>5-cyanouracil</t>
  </si>
  <si>
    <t>BOQQUT</t>
  </si>
  <si>
    <t>C8 H11 N1 O2</t>
  </si>
  <si>
    <t>3-azabicyclo[3.3.1]nonane-2,4-dione</t>
  </si>
  <si>
    <t>BOWWAL</t>
  </si>
  <si>
    <t>C16 H13 N1 O1</t>
  </si>
  <si>
    <t>N-acetyl-iminostilbene</t>
  </si>
  <si>
    <t>BRBZAO</t>
  </si>
  <si>
    <t>C7 H6 N1 O1 Br1</t>
  </si>
  <si>
    <t>2-bromobenzamide</t>
  </si>
  <si>
    <t>o-bromobenzamide</t>
  </si>
  <si>
    <t>BTXIVS</t>
  </si>
  <si>
    <t>C10 H10 N2 S3</t>
  </si>
  <si>
    <t>2-Thioxo-benzothiazole-3-carbothioic acid dimethylamide</t>
  </si>
  <si>
    <t>Blind Test molecule XIV</t>
  </si>
  <si>
    <t>amino-pyrimidine otolic acid cocrystal</t>
  </si>
  <si>
    <t xml:space="preserve">4-methyl-pyrimidin-2-ylamine otolic acid cocrystal </t>
  </si>
  <si>
    <t>Blind Test molecule XV</t>
  </si>
  <si>
    <t>4-methyl-pyrimidin-2-ylamine otolic acid cocrystal</t>
  </si>
  <si>
    <t>BZPHAN</t>
  </si>
  <si>
    <t>C18 H12</t>
  </si>
  <si>
    <t>Benzophenanthrene</t>
  </si>
  <si>
    <t>Benzo(c)phenanthrene</t>
  </si>
  <si>
    <t>BZYACO</t>
  </si>
  <si>
    <t>C15 H12 O1</t>
  </si>
  <si>
    <t>Chalcone</t>
  </si>
  <si>
    <t>(2E)-1,3-diphenylprop-2-en-1-one</t>
  </si>
  <si>
    <t>Benzylidene acetophenone</t>
  </si>
  <si>
    <t>BZYACO, BZYACO03</t>
  </si>
  <si>
    <t>CAGPUV</t>
  </si>
  <si>
    <t>C6 H3 N1 O2 Cl2</t>
  </si>
  <si>
    <t>3,4-Dichloronitrobenzene</t>
  </si>
  <si>
    <t>1,2-Dichloro-4-nitrobenzene</t>
  </si>
  <si>
    <t>1-Nitro-3,4-dichlorobenzene</t>
  </si>
  <si>
    <t>CANDUR</t>
  </si>
  <si>
    <t>C15 H12 N2 O2</t>
  </si>
  <si>
    <t>oxcarbazepine</t>
  </si>
  <si>
    <t>10-oxo-10,11-dihydro-5H-dibenzo(b,f)azepine-5-carboxamide</t>
  </si>
  <si>
    <t>CAXKOB</t>
  </si>
  <si>
    <t>C5 H5 N1 O2</t>
  </si>
  <si>
    <t>3-Deazauracil</t>
  </si>
  <si>
    <t>4-hydroxy-2-pyridone</t>
  </si>
  <si>
    <t>CAXKOB, CAXKOB01, CAXKOB11</t>
  </si>
  <si>
    <t>2,4-dihydroxypyridine</t>
  </si>
  <si>
    <t>2-hydrozy-4-pyridone</t>
  </si>
  <si>
    <t>CBMZPN</t>
  </si>
  <si>
    <t>Carbamazepine</t>
  </si>
  <si>
    <t>5-carbamoyl-5H-dibenz[b,f]azepine</t>
  </si>
  <si>
    <t>5H-Dibenz[b,f]azepine-5-carboxamide; Carbamazepine; Carbamezapine; Carbazepine; Epitol; Tegertol; Tegretol; Teril</t>
  </si>
  <si>
    <t>CBMZPN11; CBMZPN03; CBMZPN10; CBMZPN12; CBMZPB16</t>
  </si>
  <si>
    <t>C15 H12 N2O</t>
  </si>
  <si>
    <t>Carbemazepine</t>
  </si>
  <si>
    <t>CBMZPN03; CBMZPN10; CBMZPN01; CBMZPN11; CBMZPB12</t>
  </si>
  <si>
    <t>CBNCAC</t>
  </si>
  <si>
    <t>C1 H2 O3</t>
  </si>
  <si>
    <t>Carbonic acid</t>
  </si>
  <si>
    <t>CEBGOF</t>
  </si>
  <si>
    <t>C8 H8 O3</t>
  </si>
  <si>
    <t>methyl-p-hydroxybenzoate</t>
  </si>
  <si>
    <t>4-hydroxybenzoic acid methyl ester</t>
  </si>
  <si>
    <t>methyl-4-hydroxybenzoate</t>
  </si>
  <si>
    <t>CEBGOF01</t>
  </si>
  <si>
    <t>CEWVOP</t>
  </si>
  <si>
    <t>C5 H6 N2 O2</t>
  </si>
  <si>
    <t>6-methyluracil</t>
  </si>
  <si>
    <t>2,4-dihydroxy-6-methylpyrimidine</t>
  </si>
  <si>
    <t>CIVTUW</t>
  </si>
  <si>
    <t>C13 H5 N3 O8</t>
  </si>
  <si>
    <t>3,8,9-Trinitro-5H-dibenzo(b,d)pyran-5-one</t>
  </si>
  <si>
    <t>CIWMAW</t>
  </si>
  <si>
    <t>C4 H4 N6 O4</t>
  </si>
  <si>
    <t>2,6-diamino-3,5-dinitro pyrazine</t>
  </si>
  <si>
    <t>3,5-Dinitro-pyrazine-2,6-diamine</t>
  </si>
  <si>
    <t>CLBZAC</t>
  </si>
  <si>
    <t>C7 H5 O2 Cl1</t>
  </si>
  <si>
    <t>o-Chlorobenzoic acid</t>
  </si>
  <si>
    <t>2-Chlorobenzoic acid</t>
  </si>
  <si>
    <t>CLBZAM</t>
  </si>
  <si>
    <t>C7 H6 N1 O1 Cl1</t>
  </si>
  <si>
    <t>2-Chlorobenzamide</t>
  </si>
  <si>
    <t>2-Chlorobemzamide</t>
  </si>
  <si>
    <t>CLFORM</t>
  </si>
  <si>
    <t>C1 H1 Cl3</t>
  </si>
  <si>
    <t>CHLOROFORM</t>
  </si>
  <si>
    <t>trichloromethane</t>
  </si>
  <si>
    <t>4-chloro-2-nitrobenzoic acid</t>
  </si>
  <si>
    <t>CLNBAM</t>
  </si>
  <si>
    <t>2-chloro-5-nitrobenzoic acid monohydrate</t>
  </si>
  <si>
    <t>CLNBZA</t>
  </si>
  <si>
    <t>2-chloro-5-nitrobenzoic acid</t>
  </si>
  <si>
    <t>CLNBZM</t>
  </si>
  <si>
    <t>4-chloro-2-nitrobenzoic acid monohydrate</t>
  </si>
  <si>
    <t>CLURAC</t>
  </si>
  <si>
    <t>C4 H3 N2 O2 Cl</t>
  </si>
  <si>
    <t>5-chlorouracil</t>
  </si>
  <si>
    <t>5-chloropyrimidine-2,4(1H,3H)-dione</t>
  </si>
  <si>
    <t>CORONE</t>
  </si>
  <si>
    <t>C24 H12</t>
  </si>
  <si>
    <t>Coronene</t>
  </si>
  <si>
    <t>CORONE03, CORONE04</t>
  </si>
  <si>
    <t>COUMAR</t>
  </si>
  <si>
    <t>C9 H6 O2</t>
  </si>
  <si>
    <t>Coumarin</t>
  </si>
  <si>
    <t>COYRUD</t>
  </si>
  <si>
    <t>Naproxen</t>
  </si>
  <si>
    <t>(+)-(S)-2-(6-methoxynaphthalen-2-yl)propanoic acid</t>
  </si>
  <si>
    <t>CYTSIN</t>
  </si>
  <si>
    <t>Cytosine</t>
  </si>
  <si>
    <t>4-amino-3,4-dihydro-1H-pyrimidin-2-one</t>
  </si>
  <si>
    <t>4-amino-2-hydroxypyrimidine</t>
  </si>
  <si>
    <t>CYURAC</t>
  </si>
  <si>
    <t>C3 H3 N3 O3</t>
  </si>
  <si>
    <t>Cyanuric acid</t>
  </si>
  <si>
    <t>DAQYUQ</t>
  </si>
  <si>
    <t>2 molecules of 4-aminobenzoic acid - 1 molecule of 2,2'-bipyridyl</t>
  </si>
  <si>
    <t>DAXBIN</t>
  </si>
  <si>
    <t>C10 H8 O3</t>
  </si>
  <si>
    <t>6-Methoxy-coumarin</t>
  </si>
  <si>
    <t>6-Methoxy-chromen-2-one</t>
  </si>
  <si>
    <t>DCLMET</t>
  </si>
  <si>
    <t>C1 H2 Cl2</t>
  </si>
  <si>
    <t>DICHLOROMETHANE</t>
  </si>
  <si>
    <t>dichloromethane</t>
  </si>
  <si>
    <t>DEFDUN</t>
  </si>
  <si>
    <t>C6 H3 N2 O4 Cl1</t>
  </si>
  <si>
    <t>3,4-Dinitrochlorobenzene</t>
  </si>
  <si>
    <t>4,Chloro-1,2-dinitrobenzene</t>
  </si>
  <si>
    <t>1-Chloro-3,4-dinitrobenzene</t>
  </si>
  <si>
    <t>DEFDUN, DEFDUN01</t>
  </si>
  <si>
    <t>DETFOX</t>
  </si>
  <si>
    <t>C9 H6 O3</t>
  </si>
  <si>
    <t>7-hydroxycoumarin</t>
  </si>
  <si>
    <t>7-hydroxy-chrmoen-2-one</t>
  </si>
  <si>
    <t>Umbelliferone</t>
  </si>
  <si>
    <t>DHPROA</t>
  </si>
  <si>
    <t>C10 H10 N2 O2</t>
  </si>
  <si>
    <t xml:space="preserve"> 3,4-Dehydroproline anhydride</t>
  </si>
  <si>
    <t>3,4-Dehydroproline anhydride</t>
  </si>
  <si>
    <t>DMANTL</t>
  </si>
  <si>
    <t>C6 H14 O6</t>
  </si>
  <si>
    <t>Mannitol</t>
  </si>
  <si>
    <t>(2R,3R,4R,5R)-hexan-1,2,3,4,5,6-hexol</t>
  </si>
  <si>
    <t>DLMANT, DMANTL08, DMANTL09, DMANTL10</t>
  </si>
  <si>
    <t>DOHFEM</t>
  </si>
  <si>
    <t>C6 H4 N2 O2</t>
  </si>
  <si>
    <t>Eniluracil</t>
  </si>
  <si>
    <t>5-ethynylpyrimidine-2,4(1H,3H)-dione</t>
  </si>
  <si>
    <t>5-ethynyluracil</t>
  </si>
  <si>
    <t>DOXWIW</t>
  </si>
  <si>
    <t>2,3-Dichloronitrobenzene</t>
  </si>
  <si>
    <t>1,2-Dichloro-3-nitrobenzene</t>
  </si>
  <si>
    <t>1-Nitro-2,3-dichlorobenzene; 2,3-Dichloro-1-nitrobenzene</t>
  </si>
  <si>
    <t>EFEMUX</t>
  </si>
  <si>
    <t>C9 H7 N5 Cl2</t>
  </si>
  <si>
    <t>Lamotrigine</t>
  </si>
  <si>
    <t>6-(2,3-dichlorophenyl)-1,2,4-triazine-3,5-diamine</t>
  </si>
  <si>
    <t>EHOWIH</t>
  </si>
  <si>
    <t>C6 H6 N2 O1</t>
  </si>
  <si>
    <t>Isonicotinamide</t>
  </si>
  <si>
    <t>Pyridine-4-carboxylic acid amide</t>
  </si>
  <si>
    <t>EHOWIH, EHOWIH02</t>
  </si>
  <si>
    <t>C16 H21 N3 O3</t>
  </si>
  <si>
    <t>Eli-Lilly III, LY2806920, 5HT2a Antagonist</t>
  </si>
  <si>
    <t>3-[4-(1,2-benzisoxazol-3-yl)piperazin-1-yl]-2,2-dimethylpropanoic acid</t>
  </si>
  <si>
    <t>C22 H25 N3 O3</t>
  </si>
  <si>
    <t>Eli-Lilly VII, LY2624803, Hypnion HY10275</t>
  </si>
  <si>
    <t>3-(4-dibenzo[b,f][1,4]oxepin-11-yl-piperazin-1-yl)-2,2-dimethylpropionic acid</t>
  </si>
  <si>
    <t>3-[4-(1,2-benzisoxazol-3-yl)piperazin-1-yl]-2,2-dimethylpropanoic acid hydrochloride</t>
  </si>
  <si>
    <t>C22 H19 N5 O1</t>
  </si>
  <si>
    <t>4-[2-(6-methylpyridin-2-yl)-5,6-dihydro-4H-pyrrolo[1,2-b]pyrazol-3-yl]quinoline-6-carboxamide</t>
  </si>
  <si>
    <t>LY2157299</t>
  </si>
  <si>
    <t>EXEVUY</t>
  </si>
  <si>
    <t>C4 H7 N1 O3</t>
  </si>
  <si>
    <t>(S)-(+)-5-Hydroxymethyl-2-oxazolidinone</t>
  </si>
  <si>
    <t>FINVAZ</t>
  </si>
  <si>
    <t xml:space="preserve">Amantadine hydrochloride </t>
  </si>
  <si>
    <t xml:space="preserve">Amantadine hydrochloride    </t>
  </si>
  <si>
    <t>FPAMCA</t>
  </si>
  <si>
    <t>Flufenamic Acid</t>
  </si>
  <si>
    <t>2-[3-(trifluoromethyl)anilino]benzoic acid</t>
  </si>
  <si>
    <t xml:space="preserve">FPAMCA11, FPAMCA17, FPAMCA, FPAMCA15, FPAMCA16, FPAMCA14, FPAMCA12, FPAMCA13 </t>
  </si>
  <si>
    <t>FURACL</t>
  </si>
  <si>
    <t>Fluorouracil</t>
  </si>
  <si>
    <t>5-fluorouracil</t>
  </si>
  <si>
    <t>2,4-dioxo-5-fluoropyrimidine, 5-fluoropyrimidine-2,4(1H,3H)-dione, 5-fluoro-2,4-pyrimidine dione</t>
  </si>
  <si>
    <t>GIMREA</t>
  </si>
  <si>
    <t>C5 H4 N2 O3</t>
  </si>
  <si>
    <t>5-formyluracil</t>
  </si>
  <si>
    <t>2,4-dioxo-1,2,3,4-tetrahydropyrimidine-5-carbaldehyde</t>
  </si>
  <si>
    <t>GLUCIT</t>
  </si>
  <si>
    <t>Sorbitol</t>
  </si>
  <si>
    <t>Glucitol</t>
  </si>
  <si>
    <t>GLUCIT01, GLUCIT02, GLUCIT03</t>
  </si>
  <si>
    <t>GODTIC</t>
  </si>
  <si>
    <t>C18 H20 O2</t>
  </si>
  <si>
    <t>Equilin</t>
  </si>
  <si>
    <t>3-Hydroxy-13-methyl-6,9,11,12,13,14,15,16-octahydro-cyclopenta[a]phenanthren-17-one</t>
  </si>
  <si>
    <t>Estra-1,3,5(10),7-tetraen-17-one, 3-hydroxy-; Dihydroequilenin; 7-Dehydroestrone; 3-Hydroxyestra-1,3,5(10),7-tetraen-17-oneIsoindole-1,3-dione</t>
  </si>
  <si>
    <t>Dibenzosuberenone</t>
  </si>
  <si>
    <t xml:space="preserve">Dibenzo[a,d]cyclohepten-5-one </t>
  </si>
  <si>
    <t>GR157788X/X4302</t>
  </si>
  <si>
    <t>GSKNCH</t>
  </si>
  <si>
    <t>Dibenzosuberone chloro piperidine derivative</t>
  </si>
  <si>
    <t>4-(3-Chloro-dibenzo[a,d]cyclohepten-5-ylidene)-1-methyl-piperidine</t>
  </si>
  <si>
    <t>(SKF-35639/X4309)</t>
  </si>
  <si>
    <t>C5 H5 N5 O1</t>
  </si>
  <si>
    <t>Guanine</t>
  </si>
  <si>
    <t>2-amino-1,7-dihydro-6H-purin-6-one</t>
  </si>
  <si>
    <t>2-amino-6-oxypurine</t>
  </si>
  <si>
    <t>GUKVUE</t>
  </si>
  <si>
    <t>4-dimethylaminopyridinium - maleate</t>
  </si>
  <si>
    <t>4-dimethylaminopyridinium - buten-1-carboxylate-4-carboxylic acid</t>
  </si>
  <si>
    <t>HBZAZP</t>
  </si>
  <si>
    <t>C14 H13 N1</t>
  </si>
  <si>
    <t>Iminodibenzyl</t>
  </si>
  <si>
    <t>10,11-Dihydro-5H-dibenzo[b,f]azepin</t>
  </si>
  <si>
    <t>HCSBTZ</t>
  </si>
  <si>
    <t>Hydrochlorothiazide</t>
  </si>
  <si>
    <t>6-Chloro-7-sulfamyl-3,4-dihydro-1,2,4-benzothiadiazine 1,1-dioxide</t>
  </si>
  <si>
    <t xml:space="preserve">6-Chloro-3,4-dihydro-2H-1,2,4-benzothiadiazine-7-sulfonamide 1,1-dioxide </t>
  </si>
  <si>
    <t>HIBWEU</t>
  </si>
  <si>
    <t>3,5-Dichloronitrobenzene</t>
  </si>
  <si>
    <t>1,3-Dichloro-5-nitrobenzene</t>
  </si>
  <si>
    <t>1-Nitro-3,5-dichlorobenzene</t>
  </si>
  <si>
    <t>HOQHAW</t>
  </si>
  <si>
    <t>C3 H3 N3 O2 . H2 O1</t>
  </si>
  <si>
    <t>5-azauracil monohydrate</t>
  </si>
  <si>
    <t>1H-[1,3,5]triazin-2,4-dione monohydrate</t>
  </si>
  <si>
    <t>HXACAN</t>
  </si>
  <si>
    <t>C8 H9 N1 O2</t>
  </si>
  <si>
    <t>Paracetamol</t>
  </si>
  <si>
    <t>N-(4-hydroxyphenyl)acetamide)</t>
  </si>
  <si>
    <t>Acetaminophen</t>
  </si>
  <si>
    <t>N-(4-hydroxyphenyl)acetamide</t>
  </si>
  <si>
    <t>IBPRAC</t>
  </si>
  <si>
    <t>C13 H18 O2</t>
  </si>
  <si>
    <t>Ibuprofen</t>
  </si>
  <si>
    <t>2-(4-Isobutylphenyl)propionic acid</t>
  </si>
  <si>
    <t>IBPRAC01, JEKNOC11</t>
  </si>
  <si>
    <t>2-[4-(2-methylpropyl)phenyl]propanoic acid</t>
  </si>
  <si>
    <t>Advil, Motrin, Nurofen</t>
  </si>
  <si>
    <t>ICYTIN</t>
  </si>
  <si>
    <t>C4 H5 N3 O1</t>
  </si>
  <si>
    <t>Isocytosine Tautomer 1</t>
  </si>
  <si>
    <t>2-Amino-1H-pyrimidin-4-one</t>
  </si>
  <si>
    <t>Isocytosine Tautomer 2</t>
  </si>
  <si>
    <t>2-Amino-3H-pyrimidin-4-one</t>
  </si>
  <si>
    <t>IKEXOM</t>
  </si>
  <si>
    <t>2-chloro-4-nitrobenzoic acid monohydrate</t>
  </si>
  <si>
    <t>IMAZOL</t>
  </si>
  <si>
    <t>C3 H4 N2</t>
  </si>
  <si>
    <t>Imidazole</t>
  </si>
  <si>
    <t>INDMET</t>
  </si>
  <si>
    <t>C19 H16 N1 O4 Cl1</t>
  </si>
  <si>
    <t>Indomethacin</t>
  </si>
  <si>
    <t>1-(p-Chlorobenzoyl)-5-methoxy-2-methylindole-3-acetic acid</t>
  </si>
  <si>
    <t>ISCOFF</t>
  </si>
  <si>
    <t>C8 H10 N4 O2</t>
  </si>
  <si>
    <t>1,3,9-trimethyl-2,6-dioxypurine</t>
  </si>
  <si>
    <t>IYUPEX</t>
  </si>
  <si>
    <t>pyridine isophthalic acid cocrystal</t>
  </si>
  <si>
    <t>pyridinium isophthalate</t>
  </si>
  <si>
    <t>JIWQEM</t>
  </si>
  <si>
    <t>2,4-Dichloronitrobenzene</t>
  </si>
  <si>
    <t>1,3-Dichloro-4-nitrobenzene</t>
  </si>
  <si>
    <t>1-Nitro-2,4-dichlorobenzene</t>
  </si>
  <si>
    <t>JIXCIC</t>
  </si>
  <si>
    <t>2-aminobenzamide</t>
  </si>
  <si>
    <t>C7 H7 F1</t>
  </si>
  <si>
    <t>2-fluorotoluene</t>
  </si>
  <si>
    <t>3-fluorotoluene</t>
  </si>
  <si>
    <t>4-fluorotoluene</t>
  </si>
  <si>
    <t>C7 H8 O1</t>
  </si>
  <si>
    <t>Anisole</t>
  </si>
  <si>
    <t>Methoxybenzene</t>
  </si>
  <si>
    <t>C8 H5 F1</t>
  </si>
  <si>
    <t>2-fluorophenylacetate</t>
  </si>
  <si>
    <t>2-fluoroethynylbenzene</t>
  </si>
  <si>
    <t>KAXXAI</t>
  </si>
  <si>
    <t>Tolfenamic Acid</t>
  </si>
  <si>
    <t>2-((3-Chloro-2-methylphenyl)amino)benzoic acid</t>
  </si>
  <si>
    <t>N-(2-Methyl-3-chlorophenyl)anthranilic acid</t>
  </si>
  <si>
    <t>9H-purine-6-amine</t>
  </si>
  <si>
    <t>KONTIQ</t>
  </si>
  <si>
    <t>Gallic Acid Monohydrate</t>
  </si>
  <si>
    <t>3,4,5-Trihydroxybenzoic acid</t>
  </si>
  <si>
    <t>KOXRIY</t>
  </si>
  <si>
    <t>C2 H3 N3 O2</t>
  </si>
  <si>
    <t>Urazole</t>
  </si>
  <si>
    <t>[1,2,4]Triazolidine-3,5-dione</t>
  </si>
  <si>
    <t>LABJON</t>
  </si>
  <si>
    <t>Nitrofurantoin</t>
  </si>
  <si>
    <t>1-{[(5-nitrofuran-2(5H)-ylidene)methyl]amino}imidazolidine-2,4-dione</t>
  </si>
  <si>
    <t>LOFKIB</t>
  </si>
  <si>
    <t xml:space="preserve">C21 H18 N4 O2 </t>
  </si>
  <si>
    <t>carbamazepine-isonicotinamide</t>
  </si>
  <si>
    <t>5H-Dibenz(b,f)azepine-5-carboxamide, Pyridine-4-carboxamide</t>
  </si>
  <si>
    <t>LOFKIB, LOFKIB01</t>
  </si>
  <si>
    <t>MEBQEQ</t>
  </si>
  <si>
    <t>Fluorocytosine</t>
  </si>
  <si>
    <t>5-fluorocytosine</t>
  </si>
  <si>
    <t>2-methyl-4-nitrobenzoic acid</t>
  </si>
  <si>
    <t>MENBZM</t>
  </si>
  <si>
    <t>2-methyl-4-nitrobenzoic acid monohydrate</t>
  </si>
  <si>
    <t>METHOL</t>
  </si>
  <si>
    <t>C1 H4 O1</t>
  </si>
  <si>
    <t>Methanol</t>
  </si>
  <si>
    <t>MOZCOU</t>
  </si>
  <si>
    <t>caffeine - 3-hydroxybenzoic acid</t>
  </si>
  <si>
    <t>NACJAF</t>
  </si>
  <si>
    <t>C8 N4 S3</t>
  </si>
  <si>
    <t>3,3a-dihydro-[1,4]-dithiino[2,3-c]isothiazole-3,5,6-tricarbonitrile</t>
  </si>
  <si>
    <t>Blind Test XXII</t>
  </si>
  <si>
    <t>NAPHTA</t>
  </si>
  <si>
    <t>C10 H8</t>
  </si>
  <si>
    <t>Naphthalene</t>
  </si>
  <si>
    <t>NDNHCL</t>
  </si>
  <si>
    <t>C18 H19 N4 Cl1</t>
  </si>
  <si>
    <t>Clozapine</t>
  </si>
  <si>
    <t>8-Chloro-11-(4-methyl-1-piperazinyl)-5H-dibenzo(b,e)(1,4)diazepine</t>
  </si>
  <si>
    <t>NDNHCL10</t>
  </si>
  <si>
    <t>NDOCLH</t>
  </si>
  <si>
    <t>C18 H18 N3 O1 Cl1</t>
  </si>
  <si>
    <t>Loxapine</t>
  </si>
  <si>
    <t>2-Chloro-11-(4-methylpiperazin-1-yl)-dibenzo(b,f)(1,4)oxazepine</t>
  </si>
  <si>
    <t>NDOCLH01, NDOCLH10</t>
  </si>
  <si>
    <t>NENXAF</t>
  </si>
  <si>
    <t>C6 H10 N4 O2</t>
  </si>
  <si>
    <t>2,6-Dimethylglycoluril</t>
  </si>
  <si>
    <t>NIFLUM</t>
  </si>
  <si>
    <t>Niflumic Acid</t>
  </si>
  <si>
    <t>2-((3-(Trifluoromethyl)phenyl)amino)-3-pyridinecarboxylic acid</t>
  </si>
  <si>
    <t>NIFLUM11</t>
  </si>
  <si>
    <t>NIMFOE</t>
  </si>
  <si>
    <t>C4 H3 N3 O4</t>
  </si>
  <si>
    <t>5-nitrouracil</t>
  </si>
  <si>
    <t>5-nitro-1H-pyrimidine-2,4-dione</t>
  </si>
  <si>
    <t>NIMFOE, NIMFOE01, NIMFOE02, many solvates</t>
  </si>
  <si>
    <t>NIWFEE</t>
  </si>
  <si>
    <t>Caffeine</t>
  </si>
  <si>
    <t>1,3,7-trimethyl-2,6-dioxypurine</t>
  </si>
  <si>
    <t>NIZVAU</t>
  </si>
  <si>
    <t>C8 H4 N1 O2 F1</t>
  </si>
  <si>
    <t xml:space="preserve">7-Fluoroisatin  </t>
  </si>
  <si>
    <t>7-Fluoroindoline-2,3-dione</t>
  </si>
  <si>
    <t>NLTRXN</t>
  </si>
  <si>
    <t>C20 H23 N1 O4</t>
  </si>
  <si>
    <t>Naltrexone</t>
  </si>
  <si>
    <t>YIGRAI (monohydrate)</t>
  </si>
  <si>
    <t>NMACEP</t>
  </si>
  <si>
    <t>(R)-1-phenylethylammonium (R)-2-phenylpropanoate</t>
  </si>
  <si>
    <t>OBEQET</t>
  </si>
  <si>
    <t>C9 H7 N2 O3 Cl1 S1</t>
  </si>
  <si>
    <t>Blind Test 18</t>
  </si>
  <si>
    <t>(1-((4-chlorophenyl)sulfonyl)-2-oxopropylidene)diazenium)</t>
  </si>
  <si>
    <t>OBEQIX</t>
  </si>
  <si>
    <t>C25 H22 N2 O4 S2</t>
  </si>
  <si>
    <t>Blind Test 2010 XX</t>
  </si>
  <si>
    <t>Benzyl-(4-(4-methyl-5-(p-tolylsulfonyl)-1,3-thiazol-2-yl)phenyl)carbamate</t>
  </si>
  <si>
    <t>OBEQOD</t>
  </si>
  <si>
    <t>C6 H2 N2 O4 Cl2</t>
  </si>
  <si>
    <t>Blind Test molecule XVII</t>
  </si>
  <si>
    <t>OBEQUJ</t>
  </si>
  <si>
    <t>C6 H4 N2 O1</t>
  </si>
  <si>
    <t>5th blind test XVI</t>
  </si>
  <si>
    <t>2-diazo-3,5-cyclohexadiene-1-one</t>
  </si>
  <si>
    <t>Blind Test molecule XVI</t>
  </si>
  <si>
    <t>OHNBMH</t>
  </si>
  <si>
    <t>2-hydroxy-4-nitrobenzoic acid monohydrate</t>
  </si>
  <si>
    <t>2-hydroxy-4-nitrobenzoic acid</t>
  </si>
  <si>
    <t>OROTIC</t>
  </si>
  <si>
    <t>C5 H4 N2 O4</t>
  </si>
  <si>
    <t>orotic acid</t>
  </si>
  <si>
    <t>OTOLIC</t>
  </si>
  <si>
    <t>C8 H8 O2</t>
  </si>
  <si>
    <t>Otolic acid</t>
  </si>
  <si>
    <t>2-methyl benzoic acid</t>
  </si>
  <si>
    <t>o-Methyl benzoic acid; o-Toluic acid; 2-Toluic acid</t>
  </si>
  <si>
    <t>O-toluic acid</t>
  </si>
  <si>
    <t>C2 H3 N1 O3</t>
  </si>
  <si>
    <t>Oxamic acid</t>
  </si>
  <si>
    <t>PAHYON</t>
  </si>
  <si>
    <t>C3 H4 N2 O2</t>
  </si>
  <si>
    <t>Hydantoin</t>
  </si>
  <si>
    <t>Imidazolidine-2,4-dione</t>
  </si>
  <si>
    <t>PARBAC</t>
  </si>
  <si>
    <t>C3 H2 N2 O3</t>
  </si>
  <si>
    <t>Parabanic acid</t>
  </si>
  <si>
    <t>2,4,5-trioxoimidazolidine</t>
  </si>
  <si>
    <t>PBUPEA</t>
  </si>
  <si>
    <t>(R)-1-phenylethylammonium (R)-2-phenylbutyrate</t>
  </si>
  <si>
    <t>PBUPEA, PBUPEA01, PBUPEA02, PBUPEA03</t>
  </si>
  <si>
    <t>PCLNBZ</t>
  </si>
  <si>
    <t>Pentachloronitrobenzene</t>
  </si>
  <si>
    <t>1,2,3,4,5-pentachloro-6-nitrobenzene</t>
  </si>
  <si>
    <t>PEAPEA</t>
  </si>
  <si>
    <t>(R)-1-phenylethylammonium (S)-2-phenylbutyrate</t>
  </si>
  <si>
    <t>PEAPEA, PEAPEA10</t>
  </si>
  <si>
    <t>PHALIM</t>
  </si>
  <si>
    <t>C8 H5 N1 O2</t>
  </si>
  <si>
    <t>Phthalimide</t>
  </si>
  <si>
    <t>Isoindole-1,3-dione</t>
  </si>
  <si>
    <t>PHGLOH</t>
  </si>
  <si>
    <t>1,3,5-trihydroxyphenol dihydrate</t>
  </si>
  <si>
    <t>PHGLOH (proton disordered)</t>
  </si>
  <si>
    <t>PHGLOL</t>
  </si>
  <si>
    <t>C6 H6 O3</t>
  </si>
  <si>
    <t>Benzene-1,3,5-triol</t>
  </si>
  <si>
    <t>1,3,5-Benzenetriol, 3,5-dihydroxyphenol, 5-hydroxyresorcinol</t>
  </si>
  <si>
    <t>PHGLOL01</t>
  </si>
  <si>
    <t>PMACEP</t>
  </si>
  <si>
    <t>(R)-1-phenylethylammonium (S)-2-phenylpropanoate</t>
  </si>
  <si>
    <t>PMACEP; PMACEP01</t>
  </si>
  <si>
    <t>PROGST</t>
  </si>
  <si>
    <t>C21 H30 O2</t>
  </si>
  <si>
    <t>Progesterone</t>
  </si>
  <si>
    <t>PYRDNA</t>
  </si>
  <si>
    <t>C5 H5 N1</t>
  </si>
  <si>
    <t>Pyridine</t>
  </si>
  <si>
    <t>PYRENE</t>
  </si>
  <si>
    <t>C16 H10</t>
  </si>
  <si>
    <t>Pyrene</t>
  </si>
  <si>
    <t>PYRIDO</t>
  </si>
  <si>
    <t>C5 H5 N1 O1</t>
  </si>
  <si>
    <t>2-Pyridone</t>
  </si>
  <si>
    <t>Pyridin-2(1H)-one</t>
  </si>
  <si>
    <t>QARVOV</t>
  </si>
  <si>
    <t>C4 H3 N1 O3</t>
  </si>
  <si>
    <t>3-Oxauracil</t>
  </si>
  <si>
    <t>3H-[1,3]Oxazine-2,6-dione</t>
  </si>
  <si>
    <t>QARWAI</t>
  </si>
  <si>
    <t>Isobarbituric acid</t>
  </si>
  <si>
    <t>5-hydroxy-1H-pyrimidine-2,4-dione</t>
  </si>
  <si>
    <t>5-hydroxyuracil</t>
  </si>
  <si>
    <t>QIVTUK</t>
  </si>
  <si>
    <t>beta-Resorcylic Acid Hemihydrate</t>
  </si>
  <si>
    <t>2,4-Dihydroxybenzoic Acid Hemihydrate</t>
  </si>
  <si>
    <t>betaResorcylic Acid Hemihydrate</t>
  </si>
  <si>
    <t>QQQAMM</t>
  </si>
  <si>
    <t>C18 H18 O2</t>
  </si>
  <si>
    <t>Equilinin</t>
  </si>
  <si>
    <t>3-Hydroxyestra-1,3,5(10),6,8-pentaen-17-one</t>
  </si>
  <si>
    <t>QQQAUG</t>
  </si>
  <si>
    <t>Chlorothiazide</t>
  </si>
  <si>
    <t>6-Chloro-2H-1,2,4-benzothiadiazine-7-sulfonamide 1,1-dioxide</t>
  </si>
  <si>
    <t>QQQBTY</t>
  </si>
  <si>
    <t>2-Aniliobenzoic Acid</t>
  </si>
  <si>
    <t>2-(phenylamino)benzoic acid</t>
  </si>
  <si>
    <t>N-phenyl-anthranilic acid</t>
  </si>
  <si>
    <t>QQQBTY02</t>
  </si>
  <si>
    <t>RABYID</t>
  </si>
  <si>
    <t>Quinolinium fumarate</t>
  </si>
  <si>
    <t>Similar to Blind Test molecule XIX</t>
  </si>
  <si>
    <t>RILJOL</t>
  </si>
  <si>
    <t>4-aminobenzoic acid - 4-nitrophenylacetic acid</t>
  </si>
  <si>
    <t>C8 H8 N4</t>
  </si>
  <si>
    <t>1-benzyl-1H-tetrazole</t>
  </si>
  <si>
    <t>SCCHRN</t>
  </si>
  <si>
    <t>C7 H5 N1 O3 S1</t>
  </si>
  <si>
    <t>Saccharine</t>
  </si>
  <si>
    <t>1,2-Benzothiazol-3(2H)-one 1,1-dioxide</t>
  </si>
  <si>
    <t>o-Sulfobenzoimide</t>
  </si>
  <si>
    <t>SCCHRN02</t>
  </si>
  <si>
    <t>SEDTUQ</t>
  </si>
  <si>
    <t>C2 H4 N4 O4</t>
  </si>
  <si>
    <t>FOX-7</t>
  </si>
  <si>
    <t xml:space="preserve">C2 H4 N4 O4 </t>
  </si>
  <si>
    <t>SEMTAF</t>
  </si>
  <si>
    <t>C8 H7 N1 O4</t>
  </si>
  <si>
    <t>p-nitrophenylacetic acid</t>
  </si>
  <si>
    <t>4-Nitrophenylacetic acid</t>
  </si>
  <si>
    <t>SIKLIH</t>
  </si>
  <si>
    <t>C14 H11 N1 O2 Cl2</t>
  </si>
  <si>
    <t>Diclofenac</t>
  </si>
  <si>
    <t>[2-(2,6-dichloroanilino)phenyl]acetic acid</t>
  </si>
  <si>
    <t>Cataflam, Voltaren</t>
  </si>
  <si>
    <t>SODNOP</t>
  </si>
  <si>
    <t>Cytenamide</t>
  </si>
  <si>
    <t>5H-dibenzo(a,d)cycloheptatriene-5-carboxamide</t>
  </si>
  <si>
    <t>SOXLEX</t>
  </si>
  <si>
    <t>C6 H2 Br2 Cl1 F1</t>
  </si>
  <si>
    <t>Blind Test XIII</t>
  </si>
  <si>
    <t>1,3-Dibromo-2-chloro-5-fluorobenzene</t>
  </si>
  <si>
    <t>Blind Test molecule XIII</t>
  </si>
  <si>
    <t>SUCACB</t>
  </si>
  <si>
    <t>C4 O4 H6</t>
  </si>
  <si>
    <t>Succinic Acid</t>
  </si>
  <si>
    <t>Butan-1,4-dioic acid</t>
  </si>
  <si>
    <t>SUCACB03, SUCACB07</t>
  </si>
  <si>
    <t>Butanedioic acid</t>
  </si>
  <si>
    <t>TCLBEN</t>
  </si>
  <si>
    <t>C6 H2 Cl4</t>
  </si>
  <si>
    <t>Tetrachlorobenzene</t>
  </si>
  <si>
    <t>1,2,4,5-tetrachlorobenzene</t>
  </si>
  <si>
    <t>TEPNIT</t>
  </si>
  <si>
    <t>C8 H4 N2</t>
  </si>
  <si>
    <t>1,4-dicyanobenzene</t>
  </si>
  <si>
    <t>1,4-Dicyanobenzene</t>
  </si>
  <si>
    <t>TETROL</t>
  </si>
  <si>
    <t>C4 H4 O2</t>
  </si>
  <si>
    <t>Tetrolic Acid</t>
  </si>
  <si>
    <t>But-2-ynoic Acid</t>
  </si>
  <si>
    <t>TEVSOD</t>
  </si>
  <si>
    <t>C16 H15 N1 O1</t>
  </si>
  <si>
    <t>Cyheptamide</t>
  </si>
  <si>
    <t>10,11-dihydro-5H-dibenzocycloheptene-5- carboxamide</t>
  </si>
  <si>
    <t>10,11-dihydro-5H-dibenzocycloheptene-5-carboxamide</t>
  </si>
  <si>
    <t>TFRLPA</t>
  </si>
  <si>
    <t>Progesterone - Pyrene</t>
  </si>
  <si>
    <t>Progesterone - Pyrene 1-1</t>
  </si>
  <si>
    <t>TFRLPB</t>
  </si>
  <si>
    <t>2 Progesterone - Pyrene</t>
  </si>
  <si>
    <t>Progesterone - Pyrene 2-1</t>
  </si>
  <si>
    <t>C14 H10 O1</t>
  </si>
  <si>
    <t>Phenanthrenol</t>
  </si>
  <si>
    <t>Phenanthren-9-ol</t>
  </si>
  <si>
    <t>TFRLPD</t>
  </si>
  <si>
    <t>Progesterone - Phenanthrenol</t>
  </si>
  <si>
    <t>Progesterone - Phenanthrenol 1-1</t>
  </si>
  <si>
    <t>THYMIN</t>
  </si>
  <si>
    <t>Thymine</t>
  </si>
  <si>
    <t>5-methyl-2,4(1H,3H)-pyrimidinedione</t>
  </si>
  <si>
    <t>2,4-dihydroxy-5-methylpyrimidine, 5-methyluracil</t>
  </si>
  <si>
    <t xml:space="preserve">5-methyl-2,4(1H,3H)-pyrimidinedione </t>
  </si>
  <si>
    <t>5-methyluracil, 2,4-dihydroxy-5-methylpyrimidine</t>
  </si>
  <si>
    <t>TIBMIA</t>
  </si>
  <si>
    <t>C5 H5 N5 O5</t>
  </si>
  <si>
    <t>2,6-diamino-3,5-dinitropyridine-1-oxide</t>
  </si>
  <si>
    <t>TNBENZ</t>
  </si>
  <si>
    <t>C6 H3 N3 O6</t>
  </si>
  <si>
    <t>Trinitrobenzene</t>
  </si>
  <si>
    <t>1,3,5-trinitrobenzene</t>
  </si>
  <si>
    <t>TONIBR</t>
  </si>
  <si>
    <t>C7 H6 N1 O2 Br1</t>
  </si>
  <si>
    <t>2-Amino-5-bromo benzoic acid</t>
  </si>
  <si>
    <t>5-Bromoanthranilic acid</t>
  </si>
  <si>
    <t>TRFOXS</t>
  </si>
  <si>
    <t>TransFOX-7</t>
  </si>
  <si>
    <t>TUXPEJ</t>
  </si>
  <si>
    <t>C16 H13 N3 O3</t>
  </si>
  <si>
    <t>Mebendazole form A</t>
  </si>
  <si>
    <t>Methyl (6-benzoyl-1H-benzimidazol-2-yl)carbamate</t>
  </si>
  <si>
    <t>TUYBIA</t>
  </si>
  <si>
    <t>C8 H7 O3 Cl1</t>
  </si>
  <si>
    <t>S-3-Chloromandelic Acid</t>
  </si>
  <si>
    <t>S-(3-chlorophenyl)(hydroxy)acetic acid</t>
  </si>
  <si>
    <t>UCLANA</t>
  </si>
  <si>
    <t>C7 H8 N2 O1</t>
  </si>
  <si>
    <t>3-Aminobenzamide</t>
  </si>
  <si>
    <t>C4 H5 N3 O2</t>
  </si>
  <si>
    <t>5-aminouracil</t>
  </si>
  <si>
    <t>beta-Resorcylic Acid monohydrate</t>
  </si>
  <si>
    <t>2,4-Dihydroxybenzoic acid monohydrate</t>
  </si>
  <si>
    <t>betaResorcylic Acid Monohydrate</t>
  </si>
  <si>
    <t>2,4-Dihydroxybenzoic Acid Monohydrate</t>
  </si>
  <si>
    <t>UCLDBB</t>
  </si>
  <si>
    <t>beta Resorcylic Acid Dihydrate</t>
  </si>
  <si>
    <t>2,4-Dihydroxybenzoic Acid Dihydrate</t>
  </si>
  <si>
    <t>betaResorcylic Acid Dihydrate</t>
  </si>
  <si>
    <t>UCLDBC</t>
  </si>
  <si>
    <t>Gentisic Acid Hemihydrate</t>
  </si>
  <si>
    <t>2,5-Dihydroxybenzoic Acid Hemihydrate</t>
  </si>
  <si>
    <t>UCLDBD</t>
  </si>
  <si>
    <t>Gentisic Acid Monohydrate</t>
  </si>
  <si>
    <t>2,5-Dihydroxybenzoic Acid Monohydrate</t>
  </si>
  <si>
    <t>UCLDBE</t>
  </si>
  <si>
    <t>Gentisic Acid Dihydrate</t>
  </si>
  <si>
    <t>2,5-Dihydroxybenzoic Acid Dihydrate</t>
  </si>
  <si>
    <t>UCLDKB</t>
  </si>
  <si>
    <t>Caffeine paracetamol cocrystal</t>
  </si>
  <si>
    <t>C18 H24 O2</t>
  </si>
  <si>
    <t>beta-estradiol</t>
  </si>
  <si>
    <t>3-hydroxy-1,3,5(10)-estratriene-17beta-ol</t>
  </si>
  <si>
    <t>Estra-1,3,5(10)-triene-3,17beta-diol, DB00783</t>
  </si>
  <si>
    <t>C7 H6 O5</t>
  </si>
  <si>
    <t>Gallic Acid</t>
  </si>
  <si>
    <t>3,4,5-trihydroxybenzoic acid</t>
  </si>
  <si>
    <t>UCLHOF</t>
  </si>
  <si>
    <t>4-hydroxycoumarin</t>
  </si>
  <si>
    <t>4-hydroxy-chromen-2-one</t>
  </si>
  <si>
    <t>4-Hydroxy-benzopyran-2-one</t>
  </si>
  <si>
    <t>UCLLIA</t>
  </si>
  <si>
    <t>Tetrazol-pyrazine</t>
  </si>
  <si>
    <t>2,3,5-tri(1H-tetrazol-5-yl)-6-(2H-tetrazol-5-yl)pyrazine</t>
  </si>
  <si>
    <t>UCLLIB</t>
  </si>
  <si>
    <t>Tetrazol-pyrimidine</t>
  </si>
  <si>
    <t>2,4,6-tri(1H-tetrazol-1-yl)pyrimidine</t>
  </si>
  <si>
    <t>UCLLPA</t>
  </si>
  <si>
    <t>C17 H16 O1</t>
  </si>
  <si>
    <t>DihydroDibenzocycloheptenylethanone</t>
  </si>
  <si>
    <t>1-(10,11-Dihydro-5H-Dibenzo[a,d]cyclohepten-5-yl)-ethanone</t>
  </si>
  <si>
    <t>UCLLPB</t>
  </si>
  <si>
    <t>C17 H14 O1</t>
  </si>
  <si>
    <t>Dibenzocycloheptenylethanone</t>
  </si>
  <si>
    <t>1-(5H-Dibenzo[a,d]cyclohepten-5-yl)-ethanone</t>
  </si>
  <si>
    <t>UCLMHC</t>
  </si>
  <si>
    <t>caffeine - 4-hydroxybenzoic acid</t>
  </si>
  <si>
    <t>Ephedrine Tartrate</t>
  </si>
  <si>
    <t>Ephedrinium Tartrate</t>
  </si>
  <si>
    <t>Bipyridine - Succinic Acid cocrystal</t>
  </si>
  <si>
    <t>2,2'-Bipyridyl - Butan-1,4-dioic acid</t>
  </si>
  <si>
    <t>UCLNIB</t>
  </si>
  <si>
    <t>1,4-Dicyanobenzene - Succinic Acid cocrystal</t>
  </si>
  <si>
    <t>1,4-Dicyanobenzene - Butan-1,4-dioic acid</t>
  </si>
  <si>
    <t>UCLPKA</t>
  </si>
  <si>
    <t>4-aminobenzoic acid - 2,2'-bipyridyl</t>
  </si>
  <si>
    <t>UCLPKB</t>
  </si>
  <si>
    <t>C11 H15 N1</t>
  </si>
  <si>
    <t>(-)-(2S)-1,2,3,4-Tetrahydro-2,6-dimethylquinoline</t>
  </si>
  <si>
    <t>UCLPKC</t>
  </si>
  <si>
    <t>C4 H7 N1 O1</t>
  </si>
  <si>
    <t>4-methylazetidine-2-one</t>
  </si>
  <si>
    <t>UCLSBA</t>
  </si>
  <si>
    <t>2,6-Dichloronitrobenzene</t>
  </si>
  <si>
    <t>1,3-Dichloro-2-nitrobenzene</t>
  </si>
  <si>
    <t>1-Nitro-2,6-dichlorobenzene</t>
  </si>
  <si>
    <t>UCLSMA</t>
  </si>
  <si>
    <t xml:space="preserve">Memantine hydrochloride </t>
  </si>
  <si>
    <t xml:space="preserve">Memantine hydrochloride    </t>
  </si>
  <si>
    <t>UCLSMB</t>
  </si>
  <si>
    <t>4-dimethylaminopyridine - maleic acid</t>
  </si>
  <si>
    <t>4-dimethylaminopyridine - buten-1,4-dioic acid</t>
  </si>
  <si>
    <t>4-cyanopyridine 4-fluorobenzoic acid</t>
  </si>
  <si>
    <t>UCLSME</t>
  </si>
  <si>
    <t>4-cyanopyridinium 4-fluorobenzoate</t>
  </si>
  <si>
    <t>C2 H3 O1 F3</t>
  </si>
  <si>
    <t>Trifluoroethanol</t>
  </si>
  <si>
    <t>2,2,2-trifluoroethanol</t>
  </si>
  <si>
    <t>UCLVUR</t>
  </si>
  <si>
    <t>C6 H6 N2 O2</t>
  </si>
  <si>
    <t>5-vinyluracil</t>
  </si>
  <si>
    <t>5-vinyl-1H-pyrimidine-2,4-dione</t>
  </si>
  <si>
    <t>UNOGIN</t>
  </si>
  <si>
    <t>C17 H20 N4 S1</t>
  </si>
  <si>
    <t>Olanzapine</t>
  </si>
  <si>
    <t>2-Methyl-10-(4-methyl-1-piperazinyl)-4H-3-thia-4,9-diaza-benzo[f]azulene</t>
  </si>
  <si>
    <t>UNOGIN, UNOGIN01</t>
  </si>
  <si>
    <t>URACIL</t>
  </si>
  <si>
    <t>C4 H4 N2 O2</t>
  </si>
  <si>
    <t>Uracil</t>
  </si>
  <si>
    <t>2,4-pyrimidine dione</t>
  </si>
  <si>
    <t>UREAXX</t>
  </si>
  <si>
    <t>C1 H4 N2 O1</t>
  </si>
  <si>
    <t>Urea</t>
  </si>
  <si>
    <t>URICAC</t>
  </si>
  <si>
    <t>C5 H4 N4 O3</t>
  </si>
  <si>
    <t>Uric acid</t>
  </si>
  <si>
    <t>7,9-dihydro-1H-purine-2,6,8(3H)-trione</t>
  </si>
  <si>
    <t xml:space="preserve">Uric acid </t>
  </si>
  <si>
    <t>VACTAU</t>
  </si>
  <si>
    <t>C15 H14 N2 O1</t>
  </si>
  <si>
    <t>dihydrocarbamazepine</t>
  </si>
  <si>
    <t>10,11-Dihydro-5H-dibenzo(b,f)azepine-5-carboxamide</t>
  </si>
  <si>
    <t>VACTAU01;</t>
  </si>
  <si>
    <t>VACTAU01, VACTAU02, VACTAU03, VACTAU04</t>
  </si>
  <si>
    <t>VOLZEC</t>
  </si>
  <si>
    <t>2-chloro-4-nitrobenzoic acid</t>
  </si>
  <si>
    <t>VOLZEC, VOLZEC01</t>
  </si>
  <si>
    <t>WIMBAV</t>
  </si>
  <si>
    <t>C18 H27 N1 O2 S1</t>
  </si>
  <si>
    <t>Tazofelone</t>
  </si>
  <si>
    <t>WILZUM, WIMBAV, WIMBAV01, WIMBAV07</t>
  </si>
  <si>
    <t>2,6-di-tert-butyl-4-(1,3-thiazolidin-5-ylmethyl)phenol</t>
  </si>
  <si>
    <t>WOCGOK</t>
  </si>
  <si>
    <t xml:space="preserve">5-Fluoroisatin  </t>
  </si>
  <si>
    <t>5-Fluoroindoline-2,3-dione</t>
  </si>
  <si>
    <t>WOQDAH</t>
  </si>
  <si>
    <t>C14 H10 O5</t>
  </si>
  <si>
    <t>Salicyl salicylate</t>
  </si>
  <si>
    <t>2-Hydroxybenzoic acid 2-carboxyphenyl ester</t>
  </si>
  <si>
    <t>Salsalate</t>
  </si>
  <si>
    <t>XAFPAY</t>
  </si>
  <si>
    <t>2-({4-[2-(3,4-dichlorophenyl)ethyl]phenyl}amino)benzoic acid</t>
  </si>
  <si>
    <t>Blind Test XXIII</t>
  </si>
  <si>
    <t>XAFQAZ</t>
  </si>
  <si>
    <t>3,5-Dinitrobenzoic acid - Troger's Base cocrystal</t>
  </si>
  <si>
    <t>3,5-Dinitrobenzoic acid - 2,8-Dimethyl-6H,12H-5,11-methanodibenzo[b,f][1,5]diazocine cocrystal</t>
  </si>
  <si>
    <t>Blind Test XXVC</t>
  </si>
  <si>
    <t>XAFQIH</t>
  </si>
  <si>
    <t>C34 H22 N2 O2 Cl2</t>
  </si>
  <si>
    <t>N,N'-(1,1'dynaphthyl)-bis-2-clorobenzamide</t>
  </si>
  <si>
    <t>Blind Test XXVI</t>
  </si>
  <si>
    <t>XAFQON</t>
  </si>
  <si>
    <t>[amino-[(Z)-2-carboxyvinyl]sulfanyl-methylene]ammonium chlorine monohydrate</t>
  </si>
  <si>
    <t>Blind Test XXIV</t>
  </si>
  <si>
    <t>XAQNUZ</t>
  </si>
  <si>
    <t>C5 H7 N3</t>
  </si>
  <si>
    <t>4-methyl-pyrimidin-2-ylamine</t>
  </si>
  <si>
    <t>XATJOT</t>
  </si>
  <si>
    <t>Naphthyridinium fumarate</t>
  </si>
  <si>
    <t>Blind Test molecule XIX</t>
  </si>
  <si>
    <t>XATMIP</t>
  </si>
  <si>
    <t>C22 H8 O2 I2</t>
  </si>
  <si>
    <t>2,9-di-iodo-anthathrone</t>
  </si>
  <si>
    <t>4,10-diiododibenzo[def.mno]chrysene-6,12-dione</t>
  </si>
  <si>
    <t>XATMOV</t>
  </si>
  <si>
    <t>Azetidine</t>
  </si>
  <si>
    <t>XERBEB</t>
  </si>
  <si>
    <t>5-azauracil</t>
  </si>
  <si>
    <t>1H-[1,3,5]triazin-2,4-dione</t>
  </si>
  <si>
    <t>XOBCAT</t>
  </si>
  <si>
    <t>caffeine - salicylic acid</t>
  </si>
  <si>
    <t>XYANAC</t>
  </si>
  <si>
    <t>C15 H15 N1 O2</t>
  </si>
  <si>
    <t>Mefenamic Acid</t>
  </si>
  <si>
    <t>2-((2,3-Dimethylphenyl)amino)benzoic acid</t>
  </si>
  <si>
    <t>2-(2,3-Dimethylanilino)benzoic acid, N-(2,3-Xylyl)anthranilic acid</t>
  </si>
  <si>
    <t>XYANAC, XYANAC02</t>
  </si>
  <si>
    <t>2-[(2,3-dimethylphenyl)amino]benzoic acid</t>
  </si>
  <si>
    <t>YULGIW</t>
  </si>
  <si>
    <t>Mebendazole form C</t>
  </si>
  <si>
    <t>Methyl (5-benzoyl-1H-benzimidazol-2-yl)carbamate</t>
  </si>
  <si>
    <t>ZZZEEU</t>
  </si>
  <si>
    <t>beta-Resorcylic Acid</t>
  </si>
  <si>
    <t>2,4-Dihydroxybenzoic Acid</t>
  </si>
  <si>
    <t>ZZZEKW</t>
  </si>
  <si>
    <t>2,5-Dichloronitrobenzene</t>
  </si>
  <si>
    <t>1,4-Dichloro-2-nitrobenzene</t>
  </si>
  <si>
    <t>1-Nitro-2,5-dichlorobenzene</t>
  </si>
  <si>
    <t>ZZZITY</t>
  </si>
  <si>
    <t>C8 H10</t>
  </si>
  <si>
    <t>p-xylene</t>
  </si>
  <si>
    <t>1,4-dimethylbenzene</t>
  </si>
  <si>
    <t>4-methyltoluene</t>
  </si>
  <si>
    <t>ZZZITY01</t>
  </si>
  <si>
    <t>ZZZRTI</t>
  </si>
  <si>
    <t>o-xylene</t>
  </si>
  <si>
    <t>1,2-dimethylbenzene</t>
  </si>
  <si>
    <t>2-methyltoluene</t>
  </si>
  <si>
    <t>ZZZSPY</t>
  </si>
  <si>
    <t>m-xylene</t>
  </si>
  <si>
    <t>1,3-dimethylbenzene</t>
  </si>
  <si>
    <t>3-methyltoluene</t>
  </si>
  <si>
    <t>ZZZSPY01</t>
  </si>
  <si>
    <t>ZZZVYE</t>
  </si>
  <si>
    <t>C5 H10</t>
  </si>
  <si>
    <t>Cyclopentane</t>
  </si>
  <si>
    <t>Update Molecules Table</t>
  </si>
  <si>
    <t>Check CSD</t>
  </si>
  <si>
    <t>Find key structures</t>
  </si>
  <si>
    <t>DFT-D calculations</t>
  </si>
  <si>
    <t>Upload to database</t>
  </si>
  <si>
    <t>Update experimental info</t>
  </si>
  <si>
    <t>Yes</t>
  </si>
  <si>
    <t>YUXGUV</t>
  </si>
  <si>
    <t xml:space="preserve">Form III has no coordinates, ZZZEEU08 = Form I = ; ZZZEEU01 = Form II = </t>
  </si>
  <si>
    <t>Can't find the search</t>
  </si>
  <si>
    <t>PIPHOO</t>
  </si>
  <si>
    <t>Not on CSD</t>
  </si>
  <si>
    <t>File location</t>
  </si>
  <si>
    <t>Scientist</t>
  </si>
  <si>
    <t>Tom Lewis</t>
  </si>
  <si>
    <t>Louise Price</t>
  </si>
  <si>
    <t>Rebecca Hylton</t>
  </si>
  <si>
    <t>Salima Ismail / Louise Price</t>
  </si>
  <si>
    <t>Luca Iuzzolino</t>
  </si>
  <si>
    <t>Anastasia Ntantou</t>
  </si>
  <si>
    <t>Harriott Nowell</t>
  </si>
  <si>
    <t>Ashley Hulme</t>
  </si>
  <si>
    <t>Sarah Barnett</t>
  </si>
  <si>
    <t>Rui Guo</t>
  </si>
  <si>
    <t>Agris Berzins</t>
  </si>
  <si>
    <t>Ashley Hulme / Sarah Barnett</t>
  </si>
  <si>
    <t>Emiliana D'Oria / Doris Braun</t>
  </si>
  <si>
    <t>Matthew Habgood</t>
  </si>
  <si>
    <t>Nizar Issa / Panos Karamertzanis</t>
  </si>
  <si>
    <t>Sharmarke Mohamed</t>
  </si>
  <si>
    <t>Carole Ouvrard</t>
  </si>
  <si>
    <t>Pinky Pridhanani-Jethani / Tom Lewis</t>
  </si>
  <si>
    <t>Louise Price / Sarah Barnett</t>
  </si>
  <si>
    <t>Publication</t>
  </si>
  <si>
    <t>Price, S. L., Patel, B., Pridhanani-Jethani, P., Torrisi, A., Trans. ACA, 39(2), 1-12 (2004)</t>
  </si>
  <si>
    <t>Binal Patel / Tom Lewis</t>
  </si>
  <si>
    <t>Antonio Torrisi</t>
  </si>
  <si>
    <t>Joe Ridout</t>
  </si>
  <si>
    <t>Rona Watson</t>
  </si>
  <si>
    <t>Dave Case</t>
  </si>
  <si>
    <t>Ogaga Uzoh</t>
  </si>
  <si>
    <t>Tinoziva Sango</t>
  </si>
  <si>
    <t>Erin Stevenson</t>
  </si>
  <si>
    <t>Stevenson, E. L.; Lancaster, R. W.; Buanz, A. B. M.; Price, L. S.; Tocher, D. A.; Price, S. L., CrystEngComm 2019, 21(13), 2154-2163.</t>
  </si>
  <si>
    <t>Alex Aina</t>
  </si>
  <si>
    <t>Merina Corpinot</t>
  </si>
  <si>
    <t>Date</t>
  </si>
  <si>
    <t>There are two refinements of Trifluoroethanol on xenon that have not been uploaded.  There is also some stuff on pressure, but I might have lost that.</t>
  </si>
  <si>
    <t>Louise Price / Einat Schur</t>
  </si>
  <si>
    <t>2015-2019</t>
  </si>
  <si>
    <t>Schur, E.; Bernstein, J.; Price, L. S.; Guo, R.; Price, S. L.; Lapidus, S. H.; Stephens, P. W., 2019, 9, (18), 4884-4893.</t>
  </si>
  <si>
    <t>Juliette Pradon / Sarah Barnett</t>
  </si>
  <si>
    <t>No publication planned</t>
  </si>
  <si>
    <t>See Study_ID=20</t>
  </si>
  <si>
    <t>Ouvrard, C., Price, S. L., Special Issue of Crystal Growth and Design, 4(6), 1119-1127 (2004)</t>
  </si>
  <si>
    <t>Copley, R. C. B., Deprez, L. S., Lewis, T. C., Price, S. L., CrystEngComm, 7(69), 421-428 (2005)</t>
  </si>
  <si>
    <t>Lewis, T. C., Tocher, D. A., Price, S. L., Cryst. Growth Des., 5(3), 983-993 (2005)</t>
  </si>
  <si>
    <t>See Study_ID=0</t>
  </si>
  <si>
    <t>Not published - see Smith, E. L.; Ridout, J.; Sellars, J. D.; Probert, M. R., Crystengcomm 2019, 21, (30), 4422-4426.</t>
  </si>
  <si>
    <t>See Study_ID=1</t>
  </si>
  <si>
    <t>Nizar Issa</t>
  </si>
  <si>
    <t>Nizar Issa / Sarah Barnett</t>
  </si>
  <si>
    <t>2005-7</t>
  </si>
  <si>
    <t>See Study_ID=30</t>
  </si>
  <si>
    <t>Iuzzolino, L.; McCabe, P.; Price, S. L.; Brandenburg, J. G., Faraday Discussions 2018, 211, 275-296.</t>
  </si>
  <si>
    <t>Kreso Bucar is leading</t>
  </si>
  <si>
    <t>See Study_ID=13</t>
  </si>
  <si>
    <t>See Study_ID=10</t>
  </si>
  <si>
    <t>Gareth Welch / Alston Misquitta</t>
  </si>
  <si>
    <t>Alston Misquitta</t>
  </si>
  <si>
    <t>See Study_ID=50</t>
  </si>
  <si>
    <t>Andrei Kazantsev</t>
  </si>
  <si>
    <t>See Study_ID=11</t>
  </si>
  <si>
    <t>Sally Price</t>
  </si>
  <si>
    <t>Doris Braun</t>
  </si>
  <si>
    <t>See Study_IDs 10 and 11</t>
  </si>
  <si>
    <t>See Study_IDs 10 and 31</t>
  </si>
  <si>
    <t>See Study_IDs 10 and 31 (reranked with different potential)</t>
  </si>
  <si>
    <t>See Study_IDs 10 and 30</t>
  </si>
  <si>
    <t>See Study_IDs 10 and 33</t>
  </si>
  <si>
    <t>Spencer J, Patel H, Deadman JJ, Palmer RA, Male L, Coles SJ, Uzoh OG, Price SL 2012. CrystEngComm. 2012, 14, (20), 6441-6446.</t>
  </si>
  <si>
    <t xml:space="preserve">Corpinot, M.; Guo, R.; Tocher, D.; Buanz, A.; Gaisford, S.; Price, S.; Bucar, D., Are Oxygen and Sulfur Atoms Structurally Equivalent in Organic Crystals? Crystal Growth &amp; Design 2017, 17, (2), 827-833. </t>
  </si>
  <si>
    <t>Bob Lancaster</t>
  </si>
  <si>
    <t xml:space="preserve">Cockcroft, J. K.; Buanz, A. B. M.; Ntantou, A.; Price, L. S.; Tocher, D. A.; Vickers, M.; Lancaster, R. W., Crystal Growth &amp; Design 2016, 16, (11), 6144-6147 </t>
  </si>
  <si>
    <t>Barnett, S. A., Broder, C. K., Shankland, K., David, W. I. F., Ibberson, R. M., Tocher, D. A., Acta Crystallogr. B, 62(2), 287-295 (2006).</t>
  </si>
  <si>
    <t>Masters Thesis only</t>
  </si>
  <si>
    <t>Hulme, A. T.; Johnston, A.; Florence, A. J.; Fernandes, P.; Shankland, K.; Bedford, C. T.; Welch, G. W. A.; Sadiq, G.; Haynes, D. A.; Motherwell, W. D. S.; Tocher, D. A.; Price, S. L. J.Am.Chem.Soc. 2007, 129(12), 3649-3657.</t>
  </si>
  <si>
    <t>With Matteo Salvalaglio</t>
  </si>
  <si>
    <t>No plan to publish this incorrect search!</t>
  </si>
  <si>
    <t>Emiliana D'Oria</t>
  </si>
  <si>
    <t>Case, D. H.; Srirambhatla, V. K.; Guo, R.; Watson, R. E.; Price, L. S.; Polyzois, H.; Cockcroft, J. K.; Florence, A. J.; Tocher, D. A.; Price, S. L., Successful Computationally Directed Templating of Metastable Pharmaceutical Polymorphs. Crystal Growth &amp; Design 2018, 18, (9), 5322-5331.</t>
  </si>
  <si>
    <t>Srirambhatla, V. K.; Guo, R.; Price, S. L.; Florence, A. J., Chemical Communications 2016, 52, 7384-7386.</t>
  </si>
  <si>
    <t>Hulme, A.T.; Price, S.L. J. Chem. Theory Comput. 2007, 3(4), 1597-1608.</t>
  </si>
  <si>
    <t>Florence, A. J.; Johnston, A.; Price, S. L.; Nowell, H.; Kennedy, A. R.; Shankland, N. J. Pharm. Sci., 95(9), 1918-1930 (2006).</t>
  </si>
  <si>
    <t>Hulme, A. T.; Tocher, D. A. Cryst. Growth Des. 6(2), 481-487 (2006)</t>
  </si>
  <si>
    <t>See the other caffeine / hydroxybenzoic acid searches</t>
  </si>
  <si>
    <t>See study_ID=0 &amp; 1</t>
  </si>
  <si>
    <t>Matthew did a search on 5-formyluracil which might be in /home/mh1/irrera</t>
  </si>
  <si>
    <t>Early search - not published</t>
  </si>
  <si>
    <t>Not published</t>
  </si>
  <si>
    <t>GLUCSE</t>
  </si>
  <si>
    <t>C6 H12 O6</t>
  </si>
  <si>
    <t>beta-D-glucose</t>
  </si>
  <si>
    <t>GLUCSE02</t>
  </si>
  <si>
    <t>Isaac Sugden</t>
  </si>
  <si>
    <t>Imperial College work</t>
  </si>
  <si>
    <t>Rui is working on it</t>
  </si>
  <si>
    <t>Done by Rui</t>
  </si>
  <si>
    <t>Programs</t>
  </si>
  <si>
    <t>Study_ID=10 + DMACRYS_2.2.0.1</t>
  </si>
  <si>
    <t>See Study_id=12</t>
  </si>
  <si>
    <t>Rui has done it</t>
  </si>
  <si>
    <t>See study_id=10</t>
  </si>
  <si>
    <t>See Study_id=10</t>
  </si>
  <si>
    <t>CrystalPredictor_2.1.01, CrystalOptimizer_2.4.m, DMACRYS_2.2.0.1</t>
  </si>
  <si>
    <t>See study_ID=10</t>
  </si>
  <si>
    <t>GEHXEX</t>
  </si>
  <si>
    <t>C19 H19 N2 Cl1</t>
  </si>
  <si>
    <t>Desloratadine</t>
  </si>
  <si>
    <t>in progress by Rui</t>
  </si>
  <si>
    <t>ACRDIN04, ACRDIN07, ACRDIN08, ACRDIN02, ACRDIN05, ACRDIN06, ACRDIN12</t>
  </si>
  <si>
    <t>MOLPAK, DMACRYS_2.0.4 (on CONDOR)</t>
  </si>
  <si>
    <t>CrystalPredictor_v_unknown, DMACRYS_2.0.4</t>
  </si>
  <si>
    <t>N/A</t>
  </si>
  <si>
    <t>MOLPAK, DMAREL_3.0</t>
  </si>
  <si>
    <t>ACSALA21, ACSALA20, ACSALA23</t>
  </si>
  <si>
    <t>Nizar Issa (Louise Price)</t>
  </si>
  <si>
    <t>Louise, 2020</t>
  </si>
  <si>
    <t>MOLPAK, DMAREL_4.1.1</t>
  </si>
  <si>
    <t>Weijia Zhu</t>
  </si>
  <si>
    <t>Weijia Zhu (L Price)</t>
  </si>
  <si>
    <t>Louise Price / Einat Schur (Rui Guo)</t>
  </si>
  <si>
    <t>Rui did the 5 experimental structures</t>
  </si>
  <si>
    <t>Yes, CSD version 5.41 with November 2019 update</t>
  </si>
  <si>
    <t>Rui has done experimental structures</t>
  </si>
  <si>
    <t>MOLPAK + DMAREL 4.1.1</t>
  </si>
  <si>
    <t>Download spreadsheet</t>
  </si>
  <si>
    <t>Motif information?</t>
  </si>
  <si>
    <t>MOLPAK, DMAREL_v3.0</t>
  </si>
  <si>
    <t>Louise did the experimental structure (2 versions) and 6 different sheets</t>
  </si>
  <si>
    <t>Jen Swift's group did this</t>
  </si>
  <si>
    <t>Methyl anthranilate</t>
  </si>
  <si>
    <t>Methyl 2-aminobenzoate</t>
  </si>
  <si>
    <t>CrystalPredictor (2.4.3), CrystalOptimizer (2.4.7.1), DMACRYS (2.3.1.1)</t>
  </si>
  <si>
    <t>January 2021</t>
  </si>
  <si>
    <t>CHEMISTRY_CPOSS\BlindTest2020-2022\Z1\XXIX</t>
  </si>
  <si>
    <t>Blind Test XXXI</t>
  </si>
  <si>
    <t>3-[difluoro(2-fluorophenyl)methanesulfonyl]-5,5-dimethyl-4,5-dihydro-1,2-oxazole</t>
  </si>
  <si>
    <t>CrystalPredictor (2.4.3), CrystalOptimizer (2.4.7), DMACRYS (2.3.1.1)</t>
  </si>
  <si>
    <t>September 2021</t>
  </si>
  <si>
    <t>CHEMISTRY_CPOSS\BlindTest2020-2022\XXXI\CrystOpt1\</t>
  </si>
  <si>
    <t>CCDC supplied crystal structures, CrystalOptimizer (2.4.7), DMACRYS (2.3.1.1)</t>
  </si>
  <si>
    <t>January 2022</t>
  </si>
  <si>
    <t>CHEMISTRY_CPOSS\BlindTest2020-2022\XXXI\CrystOpt2\</t>
  </si>
  <si>
    <t>CCDC supplied crystal structures, CrystalOptimizer (2.4.7), DMACRYS (2.3.1.1), single point DMACRYS</t>
  </si>
  <si>
    <t>CHEMISTRY_CPOSS\BlindTest2020-2022\XXXI\CrystOpt_fit\</t>
  </si>
  <si>
    <t>April 2022</t>
  </si>
  <si>
    <t>CHEMISTRY_CPOSS\BlindTest2020-2022\XXXI\CrystOpt_BowFpot\</t>
  </si>
  <si>
    <t>Blind Test XXVII</t>
  </si>
  <si>
    <t>2-[2,3-diiodo-13-(2-triisopropylsilylethynyl)pentacen-6-yl]ethynyl-triisopropyl-silane</t>
  </si>
  <si>
    <t>MOLPAK, DMACRYS (2.0.8)</t>
  </si>
  <si>
    <t>CHEMISTRY_CPOSS\BlindTest2020-2022\XXVII\MOLPAK\</t>
  </si>
  <si>
    <t>CCDC supplied crystal structures, DMACRYS (2.3.1.1)</t>
  </si>
  <si>
    <t>February 2022</t>
  </si>
  <si>
    <t>CHEMISTRY_CPOSS\BlindTest2020-2022\XXVII\Sub2_bondopt\small_iso\</t>
  </si>
  <si>
    <t>CHEMISTRY_CPOSS\BlindTest2020-2022\XXVII\Sub2_bondopt\small_anis\</t>
  </si>
  <si>
    <t>CHEMISTRY_CPOSS\BlindTest2020-2022\XXVII\Sub2_bondopt\small_fit\</t>
  </si>
  <si>
    <t>CHEMISTRY_CPOSS\BlindTest2020-2022\XXVII\Sub2_bondopt\big_iso\</t>
  </si>
  <si>
    <t>CHEMISTRY_CPOSS\BlindTest2020-2022\XXVII\Sub2_bondopt\big_anis\</t>
  </si>
  <si>
    <t>CHEMISTRY_CPOSS\BlindTest2020-2022\XXVII\Sub2_bondopt\big_fit\</t>
  </si>
  <si>
    <t>Blind Test XXX, stoichiometry test; Cannabinol Tetramethylpyrazine 1-1 cocrystal</t>
  </si>
  <si>
    <t>6,6,9-trimethyl-3-pentyl-6H-dibenzo[b,d]pyran-1-ol - Tetramethylpyrazine cocrystal</t>
  </si>
  <si>
    <t>CrystalPredictor (2.4.3.2) CrystalOptimize (2.4.7.1)</t>
  </si>
  <si>
    <t>Yiming Ding</t>
  </si>
  <si>
    <t>June 2021</t>
  </si>
  <si>
    <t>\CHEMISTRY_CPOSS\BlindTest2020-2022\BXXXCT</t>
  </si>
  <si>
    <t>Blind Test XXXII</t>
  </si>
  <si>
    <t>N-[3-[2-(difluoromethoxy)-5-methylsulfanyl-phenyl]-1-[2-(4-morpholino-1-piperidyl)-2-oxo-ethyl]pyrazol-4-yl]pyrazolo[1,5-a]pyrimidine-3-carboxamide</t>
  </si>
  <si>
    <t>CCDC supplied crystal structures, CrystalOptimizer (2.4.8_07_05), DMACRYS (2.3.1.1)</t>
  </si>
  <si>
    <t>May 2022</t>
  </si>
  <si>
    <t>CHEMISTRY_CPOSS\BlindTest2020-2022\XXXII\CrystOpt</t>
  </si>
  <si>
    <t>CrystalPredictor (2.4.3), DMACRYS (2.3.1.1)</t>
  </si>
  <si>
    <t>CHEMISTRY_CPOSS\BlindTest2020-2022\XXXII\RigidCryPred\</t>
  </si>
  <si>
    <t>August 2021</t>
  </si>
  <si>
    <t>CCDC supplied crystal structures, DFTB, DMACRYS (2.3.1.1)</t>
  </si>
  <si>
    <t>CHEMISTRY_CPOSS\BlindTest2020-2022\XXXII\DFTB2</t>
  </si>
  <si>
    <t>CANNOL</t>
  </si>
  <si>
    <t>Cannabinol</t>
  </si>
  <si>
    <t>6,6,9-trimethyl-3-pentyl-6H-dibenzo[b,d]pyran-1-ol</t>
  </si>
  <si>
    <t>CrystalPredictor (2.4.3.2), CrystalOptimizer (2.4.7.1), DMACRYS (2.3.1.1)</t>
  </si>
  <si>
    <t>CHEMISTRY_CPOSS\BlindTest2020-2022\XXX\CANNOL</t>
  </si>
  <si>
    <t>MPYRAZ</t>
  </si>
  <si>
    <t>Tetramethylpyrazine</t>
  </si>
  <si>
    <t>CHEMISTRY_CPOSS\BlindTest2020-2022\XXX\MPYRAZ_not_used\</t>
  </si>
  <si>
    <t>CHEMISTRY_CPOSS\BlindTest2020-2022\XXX\MPYRAZ\</t>
  </si>
  <si>
    <t>SULDAZ</t>
  </si>
  <si>
    <t>Sulfadiazine</t>
  </si>
  <si>
    <t>4-Amino-N-(2-pyrimidinyl)-benzenesulfonamide</t>
  </si>
  <si>
    <t>SULDAZ03</t>
  </si>
  <si>
    <t>William Wood</t>
  </si>
  <si>
    <t>December 2022</t>
  </si>
  <si>
    <t>See later structure refinements</t>
  </si>
  <si>
    <t>\CHEMISTRY_CPOSS\Sulfadiazine\CrystPred\</t>
  </si>
  <si>
    <t>2020</t>
  </si>
  <si>
    <t>\CHEMISTRY_CPOSS\Trinitrobenzene\Model0_Iso</t>
  </si>
  <si>
    <t>\CHEMISTRY_CPOSS\Trinitrobenzene\Model0_Aniso</t>
  </si>
  <si>
    <t>\CHEMISTRY_CPOSS\Trinitrobenzene\DIFF</t>
  </si>
  <si>
    <t>\CHEMISTRY_CPOSS\Trinitrobenzene\DIFF_no_pol</t>
  </si>
  <si>
    <t>\CHEMISTRY_CPOSS\Trinitrobenzene\FIT+GDMA</t>
  </si>
  <si>
    <t>\CHEMISTRY_CPOSS\Trinitrobenzene\diff+e_3</t>
  </si>
  <si>
    <t>\CHEMISTRY_CPOSS\Trinitrobenzene\diff+e_7</t>
  </si>
  <si>
    <t>\CHEMISTRY_CPOSS\Trinitrobenzene\diff+e_11</t>
  </si>
  <si>
    <t>MOLPAK, DMACRYS_v2.0.8 or 2.3.1.1</t>
  </si>
  <si>
    <t>This is a project with Jen Swift</t>
  </si>
  <si>
    <t>CHEMISTRY_CPOSS\uric_acid_2022</t>
  </si>
  <si>
    <t>Blind Test XXVIII</t>
  </si>
  <si>
    <t>dichloro-bis(1,1-diphenylmethanimine)-copper</t>
  </si>
  <si>
    <t>CrystalPredictor (2.4.3), CrystalOptimizer (2.4.8_07_05), DMACRYS (2.3.1.1)</t>
  </si>
  <si>
    <t>Rui Guo, Louise Price</t>
  </si>
  <si>
    <t>October 2021</t>
  </si>
  <si>
    <t>CHEMISTRY_CPOSS\BlindTest2020-2022\XXVIII\LimitedCO\</t>
  </si>
  <si>
    <t>CHEMISTRY_CPOSS\BlindTest2020-2022\XXVIII\CO_sub2\</t>
  </si>
  <si>
    <t>CHEMISTRY_CPOSS\BlindTest2020-2022\XXVIII\CO_sub2_basis\</t>
  </si>
  <si>
    <t>CHEMISTRY_CPOSS\BlindTest2020-2022\XXVIII\RigidCP\</t>
  </si>
  <si>
    <t>Blind Test XXX, stoichiometry test; Cannabinol Tetramethylpyrazine 2-1 cocrystal</t>
  </si>
  <si>
    <t>6,6,9-trimethyl-3-pentyl-6H-dibenzo[b,d]pyran-1-ol - Tetramethylpyrazine 2-1 cocrystal</t>
  </si>
  <si>
    <t>\CHEMISTRY_CPOSS\BlindTest2020-2022\XXXCCT</t>
  </si>
  <si>
    <t>XXXCTT</t>
  </si>
  <si>
    <t>Blind Test XXX, stoichiometry test; Cannabinol Tetramethylpyrazine 1-2 cocrystal</t>
  </si>
  <si>
    <t>6,6,9-trimethyl-3-pentyl-6H-dibenzo[b,d]pyran-1-ol - Tetramethylpyrazine 1-2 cocrystal</t>
  </si>
  <si>
    <t>\CHEMISTRY_CPOSS\BlindTest2020-2022\XXXCTT</t>
  </si>
  <si>
    <t>Blind Test XXXIII</t>
  </si>
  <si>
    <t>Morpholin-4-ium (4-aminophenyl)sulfonyl-(5-methylisoxazol-3-yl)azanide</t>
  </si>
  <si>
    <t>CrystalPredictor (2.4.3.2), CrystalOptimizer (2.4.8), DMACRYS (2.3.1.1)</t>
  </si>
  <si>
    <t>CHEMISTRY_CPOSS\BlindTest2020-2022\XXXIII\CrystOpt1\</t>
  </si>
  <si>
    <t>CHEMISTRY_CPOSS\BlindTest2020-2022\XXXIII\CrystOpt2\</t>
  </si>
  <si>
    <t>Number of structures</t>
  </si>
  <si>
    <t>WIDBAO</t>
  </si>
  <si>
    <t>WICZUF</t>
  </si>
  <si>
    <t>FOCWOL</t>
  </si>
  <si>
    <t>FOCWUR</t>
  </si>
  <si>
    <t>DBTROP</t>
  </si>
  <si>
    <t>KEMDOW</t>
  </si>
  <si>
    <t>YICFEX</t>
  </si>
  <si>
    <t>YICDUL</t>
  </si>
  <si>
    <t>YICDIZ</t>
  </si>
  <si>
    <t>HUPNIR</t>
  </si>
  <si>
    <t>AXUBUR</t>
  </si>
  <si>
    <t>QUPROL</t>
  </si>
  <si>
    <t>QUPSEC</t>
  </si>
  <si>
    <t>AFIGOO</t>
  </si>
  <si>
    <t>ZECWOV</t>
  </si>
  <si>
    <t>CUTCAW</t>
  </si>
  <si>
    <t>LATJAT</t>
  </si>
  <si>
    <t>SARKII</t>
  </si>
  <si>
    <t>KOHCUI</t>
  </si>
  <si>
    <t>SLFNMA</t>
  </si>
  <si>
    <t>C11 H12 N4 O2 S1</t>
  </si>
  <si>
    <t>Sulfamerazine</t>
  </si>
  <si>
    <t>4-Amino-N-(4-methylpyrimidin-2-yl)-benzenesulfonamide</t>
  </si>
  <si>
    <t>\CHEMISTRY_CPOSS\Sulfamerzine\CrystPred\</t>
  </si>
  <si>
    <t>\CHEMISTRY_CPOSS\0-EarlySearches\home\louise_price.eminerals\1,4-dicyanobenzene\1,4-dicyanobenzene_fit</t>
  </si>
  <si>
    <t>\CHEMISTRY_CPOSS\0-EarlySearches\home\louise_price.eminerals\1,4-dicyanobenzene\1,4-dicyanobenzene_will</t>
  </si>
  <si>
    <t>\CHEMISTRY_CPOSS\0-EarlySearches\home\louise_price.eminerals\2,3-dichloronitrobenzene</t>
  </si>
  <si>
    <t>\CHEMISTRY_CPOSS\0-EarlySearches\home\louise_price.eminerals\2,4-dichloronitrobenzene</t>
  </si>
  <si>
    <t>\CHEMISTRY_CPOSS\0-EarlySearches\home\louise_price.eminerals\2,5-dichloronitrobenzene</t>
  </si>
  <si>
    <t>\CHEMISTRY_CPOSS\0-EarlySearches\home\louise_price.eminerals\2,6-diamino-3,5-dinitropyridine-1-oxide</t>
  </si>
  <si>
    <t>\CHEMISTRY_CPOSS\0-EarlySearches\home\louise_price.eminerals\2,6-dichloronitrobenzene</t>
  </si>
  <si>
    <t>\CHEMISTRY_CPOSS\0-EarlySearches\home\louise_price.eminerals\2,9-diiodoanthanthrone</t>
  </si>
  <si>
    <t>\CHEMISTRY_CPOSS\0-EarlySearches\home\louise_price.eminerals\2-amino-5-bromobenzoic_acid</t>
  </si>
  <si>
    <t>\CHEMISTRY_CPOSS\0-EarlySearches\home\louise_price.eminerals\2-aminobenzamide</t>
  </si>
  <si>
    <t>\CHEMISTRY_CPOSS\0-EarlySearches\home\louise_price.eminerals\2-bromobenzamide</t>
  </si>
  <si>
    <t>\CHEMISTRY_CPOSS\0-EarlySearches\home\louise_price.eminerals\2-chlorobenzamide</t>
  </si>
  <si>
    <t>\CHEMISTRY_CPOSS\0-EarlySearches\home\louise_price.eminerals\2-chlorobenzamide_BOB</t>
  </si>
  <si>
    <t>\CHEMISTRY_CPOSS\0-EarlySearches\home\louise_price.eminerals\3,4-dichloronitrobenzene</t>
  </si>
  <si>
    <t>\CHEMISTRY_CPOSS\0-EarlySearches\home\louise_price.eminerals\3,5-dichloronitrobenzene</t>
  </si>
  <si>
    <t>\CHEMISTRY_CPOSS\0-EarlySearches\home\louise_price.eminerals\3-aminobenzamide</t>
  </si>
  <si>
    <t>\CHEMISTRY_CPOSS\0-EarlySearches\home\louise_price.eminerals\3-azabicyclononanedione\BOQQUTMP2</t>
  </si>
  <si>
    <t>\CHEMISTRY_CPOSS\0-EarlySearches\home\louise_price.eminerals\3-azabicyclononanedione\BOQQUTpolarisation</t>
  </si>
  <si>
    <t>\CHEMISTRY_CPOSS\0-EarlySearches\home\louise_price.eminerals\3-oxauracil</t>
  </si>
  <si>
    <t>\CHEMISTRY_CPOSS\0-EarlySearches\home\louise_price.eminerals\4-aminobenzamide</t>
  </si>
  <si>
    <t>\CHEMISTRY_CPOSS\0-EarlySearches\home\louise_price.eminerals\4-hydroxycoumarin</t>
  </si>
  <si>
    <t>\CHEMISTRY_CPOSS\0-EarlySearches\home\louise_price.eminerals\4-nitrophenylaceticacid_fit</t>
  </si>
  <si>
    <t>\CHEMISTRY_CPOSS\0-EarlySearches\home\louise_price.eminerals\4-nitrophenylacetic_acid_will_full</t>
  </si>
  <si>
    <t>\CHEMISTRY_CPOSS\0-EarlySearches\home\louise_price.eminerals\4-nitrophenylacetic_acid_will_singlepoint</t>
  </si>
  <si>
    <t>\CHEMISTRY_CPOSS\0-EarlySearches\home\louise_price.eminerals\5-aminouracil</t>
  </si>
  <si>
    <t>\CHEMISTRY_CPOSS\0-EarlySearches\home\louise_price.eminerals\5-azauracil</t>
  </si>
  <si>
    <t>\CHEMISTRY_CPOSS\0-EarlySearches\home\louise_price.eminerals\5-cyanouracil</t>
  </si>
  <si>
    <t>\CHEMISTRY_CPOSS\0-EarlySearches\home\louise_price.eminerals\5-ethyluracil</t>
  </si>
  <si>
    <t>\CHEMISTRY_CPOSS\0-EarlySearches\home\louise_price.eminerals\5-fluoroisatin</t>
  </si>
  <si>
    <t>\CHEMISTRY_CPOSS\0-EarlySearches\home\louise_price.eminerals\5-nitrouracil\OptSearch</t>
  </si>
  <si>
    <t>\CHEMISTRY_CPOSS\0-EarlySearches\home\louise_price.eminerals\5-nitrouracil\PlanSearch</t>
  </si>
  <si>
    <t>\CHEMISTRY_CPOSS\0-EarlySearches\home\louise_price.eminerals\5-vinyluracil</t>
  </si>
  <si>
    <t>\CHEMISTRY_CPOSS\0-EarlySearches\home\louise_price.eminerals\5azahydrates</t>
  </si>
  <si>
    <t>\CHEMISTRY_CPOSS\0-EarlySearches\home\louise_price.eminerals\6-methoxycoumarin</t>
  </si>
  <si>
    <t>\CHEMISTRY_CPOSS\0-EarlySearches\home\louise_price.eminerals\6-methyluracil</t>
  </si>
  <si>
    <t>\CHEMISTRY_CPOSS\0-EarlySearches\home\louise_price.eminerals\7-fluoroisatin</t>
  </si>
  <si>
    <t>\CHEMISTRY_CPOSS\0-EarlySearches\home\louise_price.eminerals\7-hydroxycoumarin</t>
  </si>
  <si>
    <t>\CHEMISTRY_CPOSS\0-EarlySearches\home\louise_price.eminerals\adenine</t>
  </si>
  <si>
    <t>\CHEMISTRY_CPOSS\0-EarlySearches\home\louise_price.eminerals\alloxan</t>
  </si>
  <si>
    <t>\CHEMISTRY_CPOSS\0-EarlySearches\home\louise_price.eminerals\amantadine_hydrochloride</t>
  </si>
  <si>
    <t>\CHEMISTRY_CPOSS\0-EarlySearches\home\louise_price.eminerals\aminobenzoic_acid-4-nitrophenylacetic_acid_fit</t>
  </si>
  <si>
    <t>\CHEMISTRY_CPOSS\0-EarlySearches\home\louise_price.eminerals\aminobenzoic_acid-4-nitrophenylacetic_acid_will_full</t>
  </si>
  <si>
    <t>\CHEMISTRY_CPOSS\0-EarlySearches\home\louise_price.eminerals\aminobenzoic_acid-4-nitrophenylacetic_acid_will_sp</t>
  </si>
  <si>
    <t>\CHEMISTRY_CPOSS\0-EarlySearches\home\louise_price.eminerals\aminobenzoic_acid-bipyridyl1-1_fit</t>
  </si>
  <si>
    <t>\CHEMISTRY_CPOSS\0-EarlySearches\home\louise_price.eminerals\aminobenzoic_acid-bipyridyl1-1_will_full</t>
  </si>
  <si>
    <t>\CHEMISTRY_CPOSS\0-EarlySearches\home\louise_price.eminerals\aminobenzoic_acid-bipyridyl1-1_will_sp</t>
  </si>
  <si>
    <t>\CHEMISTRY_CPOSS\0-EarlySearches\home\louise_price.eminerals\aminobenzoic_acid-bipyridyl2-1_fit</t>
  </si>
  <si>
    <t>\CHEMISTRY_CPOSS\0-EarlySearches\home\louise_price.eminerals\aminobenzoic_acid-bipyridyl2-1_will_full</t>
  </si>
  <si>
    <t>\CHEMISTRY_CPOSS\0-EarlySearches\home\louise_price.eminerals\aminobenzoic_acid-bipyridyl2-1_will_sp</t>
  </si>
  <si>
    <t>\CHEMISTRY_CPOSS\0-EarlySearches\home\louise_price.eminerals\aminobenzoic_acid_fit</t>
  </si>
  <si>
    <t>\CHEMISTRY_CPOSS\0-EarlySearches\home\louise_price.eminerals\aminobenzoic_acid_will_full</t>
  </si>
  <si>
    <t>\CHEMISTRY_CPOSS\0-EarlySearches\home\louise_price.eminerals\aminobenzoic_acid_will_singlepoint</t>
  </si>
  <si>
    <t>\CHEMISTRY_CPOSS\0-EarlySearches\home\louise_price.eminerals\Anthracene</t>
  </si>
  <si>
    <t>\CHEMISTRY_CPOSS\0-EarlySearches\home\louise_price.eminerals\Aspirin</t>
  </si>
  <si>
    <t>\CHEMISTRY_CPOSS\0-EarlySearches\home\louise_price.eminerals\azetidine</t>
  </si>
  <si>
    <t>\CHEMISTRY_CPOSS\0-EarlySearches\home\louise_price.eminerals\barbituric</t>
  </si>
  <si>
    <t>\CHEMISTRY_CPOSS\0-EarlySearches\home\louise_price.eminerals\bipyridine_fit</t>
  </si>
  <si>
    <t>\CHEMISTRY_CPOSS\0-EarlySearches\home\louise_price.eminerals\bipyridyl_will_full</t>
  </si>
  <si>
    <t>\CHEMISTRY_CPOSS\0-EarlySearches\home\louise_price.eminerals\bipyridyl_will_singlepoint</t>
  </si>
  <si>
    <t>\CHEMISTRY_CPOSS\0-EarlySearches\home\louise_price.eminerals\blindtestbase</t>
  </si>
  <si>
    <t>\CHEMISTRY_CPOSS\0-EarlySearches\home\louise_price.eminerals\BlindTestXII\fit</t>
  </si>
  <si>
    <t>\CHEMISTRY_CPOSS\0-EarlySearches\home\louise_price.eminerals\BlindTestXII\williams</t>
  </si>
  <si>
    <t>\CHEMISTRY_CPOSS\0-EarlySearches\home\louise_price.eminerals\BlindTestXIII</t>
  </si>
  <si>
    <t>\CHEMISTRY_CPOSS\0-EarlySearches\home\louise_price.eminerals\BlindTestXIVS</t>
  </si>
  <si>
    <t>\CHEMISTRY_CPOSS\0-EarlySearches\home\louise_price.eminerals\BlindTestXIVS_dmaflex</t>
  </si>
  <si>
    <t>\CHEMISTRY_CPOSS\0-EarlySearches\home\louise_price.eminerals\BlindTestXV\btxvcc_dmaflex_gdma1</t>
  </si>
  <si>
    <t>\CHEMISTRY_CPOSS\0-EarlySearches\home\louise_price.eminerals\BlindTestXV\btxvcc_dmaflex_gdma2</t>
  </si>
  <si>
    <t>\CHEMISTRY_CPOSS\0-EarlySearches\home\louise_price.eminerals\BZPHAN_fit</t>
  </si>
  <si>
    <t>\CHEMISTRY_CPOSS\0-EarlySearches\home\louise_price.eminerals\BZPHAN_will01</t>
  </si>
  <si>
    <t>\CHEMISTRY_CPOSS\0-EarlySearches\home\louise_price.eminerals\caffeine</t>
  </si>
  <si>
    <t>\CHEMISTRY_CPOSS\0-EarlySearches\home\louise_price.eminerals\Caffeine_3HydroxyBenzoicAcid</t>
  </si>
  <si>
    <t>\CHEMISTRY_CPOSS\0-EarlySearches\home\louise_price.eminerals\Caffeine_4HydroxyBenzoicAcid</t>
  </si>
  <si>
    <t>\CHEMISTRY_CPOSS\0-EarlySearches\home\louise_price.eminerals\caffeine_dmaflex</t>
  </si>
  <si>
    <t>\CHEMISTRY_CPOSS\0-EarlySearches\home\louise_price.eminerals\Caffeine_SalicylicAcid</t>
  </si>
  <si>
    <t>\CHEMISTRY_CPOSS\0-EarlySearches\home\louise_price.eminerals\carbamazepine</t>
  </si>
  <si>
    <t>\CHEMISTRY_CPOSS\0-EarlySearches\home\louise_price.eminerals\carbamazepine-picolinamide</t>
  </si>
  <si>
    <t>\CHEMISTRY_CPOSS\0-EarlySearches\home\louise_price.eminerals\carbamazepine_dmaflex\GDMA1_points</t>
  </si>
  <si>
    <t>\CHEMISTRY_CPOSS\0-EarlySearches\home\louise_price.eminerals\carbonic_acid</t>
  </si>
  <si>
    <t>\CHEMISTRY_CPOSS\0-EarlySearches\home\louise_price.eminerals\Chlorobenzoicacid</t>
  </si>
  <si>
    <t>\CHEMISTRY_CPOSS\0-EarlySearches\home\louise_price.eminerals\chlorodibenzosuberone</t>
  </si>
  <si>
    <t>\CHEMISTRY_CPOSS\0-EarlySearches\home\louise_price.eminerals\Chloroform_aniso</t>
  </si>
  <si>
    <t>\CHEMISTRY_CPOSS\0-EarlySearches\home\louise_price.eminerals\Chloroform_charges</t>
  </si>
  <si>
    <t>\CHEMISTRY_CPOSS\0-EarlySearches\home\louise_price.eminerals\chlorothiazide</t>
  </si>
  <si>
    <t>\CHEMISTRY_CPOSS\0-EarlySearches\home\louise_price.eminerals\chlorouracil</t>
  </si>
  <si>
    <t>\CHEMISTRY_CPOSS\0-EarlySearches\home\louise_price.eminerals\coumarin</t>
  </si>
  <si>
    <t>\CHEMISTRY_CPOSS\0-EarlySearches\home\louise_price.eminerals\cyanuric</t>
  </si>
  <si>
    <t>\CHEMISTRY_CPOSS\0-EarlySearches\home\louise_price.eminerals\cyclopentane_charges</t>
  </si>
  <si>
    <t>\CHEMISTRY_CPOSS\0-EarlySearches\home\louise_price.eminerals\cyclopentane_dma</t>
  </si>
  <si>
    <t>\CHEMISTRY_CPOSS\0-EarlySearches\home\louise_price.eminerals\cyheptamide</t>
  </si>
  <si>
    <t>\CHEMISTRY_CPOSS\0-EarlySearches\home\louise_price.eminerals\cytenamide</t>
  </si>
  <si>
    <t>\CHEMISTRY_CPOSS\0-EarlySearches\home\louise_price.eminerals\cytosine</t>
  </si>
  <si>
    <t>\CHEMISTRY_CPOSS\0-EarlySearches\home\louise_price.eminerals\deazauracil\Taut1-2h4p</t>
  </si>
  <si>
    <t>\CHEMISTRY_CPOSS\0-EarlySearches\home\louise_price.eminerals\deazauracil\Taut2-24hh</t>
  </si>
  <si>
    <t>\CHEMISTRY_CPOSS\0-EarlySearches\home\louise_price.eminerals\deazauracil\Taut3-4h2p</t>
  </si>
  <si>
    <t>\CHEMISTRY_CPOSS\0-EarlySearches\home\louise_price.eminerals\diamino_dinitro_pyrazine</t>
  </si>
  <si>
    <t>\CHEMISTRY_CPOSS\0-EarlySearches\home\louise_price.eminerals\Dibenzocycloheptenyl-ethanone</t>
  </si>
  <si>
    <t>\CHEMISTRY_CPOSS\0-EarlySearches\home\louise_price.eminerals\dibenzosuberenone</t>
  </si>
  <si>
    <t>\CHEMISTRY_CPOSS\0-EarlySearches\home\louise_price.eminerals\dichloromethane</t>
  </si>
  <si>
    <t>\CHEMISTRY_CPOSS\0-EarlySearches\home\louise_price.eminerals\dichloromethane_aniso</t>
  </si>
  <si>
    <t>\CHEMISTRY_CPOSS\0-EarlySearches\home\louise_price.eminerals\dihydrocarbamazepine</t>
  </si>
  <si>
    <t>\CHEMISTRY_CPOSS\0-EarlySearches\home\louise_price.eminerals\Dihydrodibenzocycloheptenyl-ethanone</t>
  </si>
  <si>
    <t>\CHEMISTRY_CPOSS\0-EarlySearches\home\louise_price.eminerals\EHOWIH</t>
  </si>
  <si>
    <t>\CHEMISTRY_CPOSS\0-EarlySearches\home\louise_price.eminerals\eniluracil</t>
  </si>
  <si>
    <t>\CHEMISTRY_CPOSS\0-EarlySearches\home\louise_price.eminerals\eniluracil_revisited</t>
  </si>
  <si>
    <t>\CHEMISTRY_CPOSS\0-EarlySearches\home\louise_price.eminerals\equilin</t>
  </si>
  <si>
    <t>\CHEMISTRY_CPOSS\0-EarlySearches\home\louise_price.eminerals\equilinin</t>
  </si>
  <si>
    <t>\CHEMISTRY_CPOSS\0-EarlySearches\home\louise_price.eminerals\equilinin_dmaflex</t>
  </si>
  <si>
    <t>\CHEMISTRY_CPOSS\0-EarlySearches\home\louise_price.eminerals\equilin_dmaflex</t>
  </si>
  <si>
    <t>\CHEMISTRY_CPOSS\0-EarlySearches\home\louise_price.eminerals\fluorocytosine</t>
  </si>
  <si>
    <t>\CHEMISTRY_CPOSS\0-EarlySearches\home\louise_price.eminerals\fluorouracil</t>
  </si>
  <si>
    <t>\CHEMISTRY_CPOSS\0-EarlySearches\home\louise_price.eminerals\gentisic_acid</t>
  </si>
  <si>
    <t>\CHEMISTRY_CPOSS\0-EarlySearches\home\louise_price.eminerals\gentisic_acidZ2</t>
  </si>
  <si>
    <t>\CHEMISTRY_CPOSS\0-EarlySearches\home\louise_price.eminerals\guanine\taut17</t>
  </si>
  <si>
    <t>\CHEMISTRY_CPOSS\0-EarlySearches\home\louise_price.eminerals\guanine\taut19</t>
  </si>
  <si>
    <t>\CHEMISTRY_CPOSS\0-EarlySearches\home\louise_price.eminerals\guanine\taut39</t>
  </si>
  <si>
    <t>\CHEMISTRY_CPOSS\0-EarlySearches\home\louise_price.eminerals\hydantoin</t>
  </si>
  <si>
    <t>\CHEMISTRY_CPOSS\0-EarlySearches\home\louise_price.eminerals\hydrochlorothiazide</t>
  </si>
  <si>
    <t>\CHEMISTRY_CPOSS\0-EarlySearches\home\louise_price.eminerals\hydroxyazabenzotriazole</t>
  </si>
  <si>
    <t>\CHEMISTRY_CPOSS\0-EarlySearches\home\louise_price.eminerals\imidazole</t>
  </si>
  <si>
    <t>\CHEMISTRY_CPOSS\0-EarlySearches\home\louise_price.eminerals\iminodibenzyl</t>
  </si>
  <si>
    <t>\CHEMISTRY_CPOSS\0-EarlySearches\home\louise_price.eminerals\isobarbituric_acid</t>
  </si>
  <si>
    <t>\CHEMISTRY_CPOSS\0-EarlySearches\home\louise_price.eminerals\isobarbituric_acid_revisited</t>
  </si>
  <si>
    <t>\CHEMISTRY_CPOSS\0-EarlySearches\home\louise_price.eminerals\isocytosine1</t>
  </si>
  <si>
    <t>\CHEMISTRY_CPOSS\0-EarlySearches\home\louise_price.eminerals\isocytosine2</t>
  </si>
  <si>
    <t>\CHEMISTRY_CPOSS\0-EarlySearches\home\louise_price.eminerals\memantine_hydrochloride</t>
  </si>
  <si>
    <t>\CHEMISTRY_CPOSS\0-EarlySearches\home\louise_price.eminerals\Methyl-p-hydroxybenzoate</t>
  </si>
  <si>
    <t>\CHEMISTRY_CPOSS\0-EarlySearches\home\louise_price.eminerals\Methyl-p-hydroxybenzoate_dmaflex</t>
  </si>
  <si>
    <t>\CHEMISTRY_CPOSS\0-EarlySearches\home\louise_price.eminerals\methylazetidineone</t>
  </si>
  <si>
    <t>\CHEMISTRY_CPOSS\0-EarlySearches\home\louise_price.eminerals\N-Acetyldibenz-b,f-azepine</t>
  </si>
  <si>
    <t>\CHEMISTRY_CPOSS\0-EarlySearches\home\louise_price.eminerals\Naphthalene1</t>
  </si>
  <si>
    <t>\CHEMISTRY_CPOSS\0-EarlySearches\home\louise_price.eminerals\Naphthalene2</t>
  </si>
  <si>
    <t>\CHEMISTRY_CPOSS\0-EarlySearches\home\louise_price.eminerals\olanzapine</t>
  </si>
  <si>
    <t>\CHEMISTRY_CPOSS\0-EarlySearches\home\louise_price.eminerals\Olanzapine_dmaflex</t>
  </si>
  <si>
    <t>\CHEMISTRY_CPOSS\0-EarlySearches\home\louise_price.eminerals\orotic_acid</t>
  </si>
  <si>
    <t>\CHEMISTRY_CPOSS\0-EarlySearches\home\louise_price.eminerals\otolic_acid</t>
  </si>
  <si>
    <t>\CHEMISTRY_CPOSS\0-EarlySearches\home\louise_price.eminerals\otolic_acid_dmaflex</t>
  </si>
  <si>
    <t>\CHEMISTRY_CPOSS\0-EarlySearches\home\louise_price.eminerals\parabanic_acid</t>
  </si>
  <si>
    <t>\CHEMISTRY_CPOSS\0-EarlySearches\home\louise_price.eminerals\paracetamol</t>
  </si>
  <si>
    <t>\CHEMISTRY_CPOSS\0-EarlySearches\home\louise_price.eminerals\pentachloronitrobenzene</t>
  </si>
  <si>
    <t>\CHEMISTRY_CPOSS\0-EarlySearches\home\louise_price.eminerals\phthalimide_fit_rigid</t>
  </si>
  <si>
    <t>\CHEMISTRY_CPOSS\0-EarlySearches\home\louise_price.eminerals\piracetam</t>
  </si>
  <si>
    <t>\CHEMISTRY_CPOSS\0-EarlySearches\home\louise_price.eminerals\progesterone</t>
  </si>
  <si>
    <t>\CHEMISTRY_CPOSS\0-EarlySearches\home\louise_price.eminerals\progesterone_dmaflex</t>
  </si>
  <si>
    <t>\CHEMISTRY_CPOSS\0-EarlySearches\home\louise_price.eminerals\Steroids\phenanthrenol\dmaflex</t>
  </si>
  <si>
    <t>\CHEMISTRY_CPOSS\0-EarlySearches\home\louise_price.eminerals\Steroids\phenanthrenol\rigid</t>
  </si>
  <si>
    <t>\CHEMISTRY_CPOSS\0-EarlySearches\home\louise_price.eminerals\Steroids\progesterone\dmaflex</t>
  </si>
  <si>
    <t>\CHEMISTRY_CPOSS\0-EarlySearches\home\louise_price.eminerals\Steroids\progesterone\rigid</t>
  </si>
  <si>
    <t>\CHEMISTRY_CPOSS\0-EarlySearches\home\louise_price.eminerals\Steroids\pyrene\dmaflex</t>
  </si>
  <si>
    <t>\CHEMISTRY_CPOSS\0-EarlySearches\home\louise_price.eminerals\Steroids\pyrene\rigid</t>
  </si>
  <si>
    <t>\CHEMISTRY_CPOSS\0-EarlySearches\home\louise_price.eminerals\tetrachlorobenzene</t>
  </si>
  <si>
    <t>\CHEMISTRY_CPOSS\0-EarlySearches\home\louise_price.eminerals\tetrahydrodimethylquinoline</t>
  </si>
  <si>
    <t>\CHEMISTRY_CPOSS\0-EarlySearches\home\louise_price.eminerals\thymine</t>
  </si>
  <si>
    <t>\CHEMISTRY_CPOSS\0-EarlySearches\home\louise_price.eminerals\thymine_revisited</t>
  </si>
  <si>
    <t>\CHEMISTRY_CPOSS\0-EarlySearches\home\louise_price.eminerals\Trinitro-5H-dibenzo-bd-pyran-5-one</t>
  </si>
  <si>
    <t>\CHEMISTRY_CPOSS\0-EarlySearches\home\louise_price.eminerals\uracil</t>
  </si>
  <si>
    <t>\CHEMISTRY_CPOSS\0-EarlySearches\home\louise_price.eminerals\urazole</t>
  </si>
  <si>
    <t>\CHEMISTRY_CPOSS\0-EarlySearches\home\louise_price.eminerals\uric_acid</t>
  </si>
  <si>
    <t>\CHEMISTRY_CPOSS\0-SolventDatabasesForCrystOpt\5-formyluracil</t>
  </si>
  <si>
    <t>\CHEMISTRY_CPOSS\2-chlorobenzamide_CPCO</t>
  </si>
  <si>
    <t>\CHEMISTRY_CPOSS\3chloromandelicacid\3ChloromandelicAcid_co</t>
  </si>
  <si>
    <t>\CHEMISTRY_CPOSS\3chloromandelicacid\3ChloromandelicAcid_cp</t>
  </si>
  <si>
    <t>\CHEMISTRY_CPOSS\3chloromandelicacid\3ChloromandelicAcid_molpak</t>
  </si>
  <si>
    <t>\CHEMISTRY_CPOSS\3chloromandelicacid\3ChloromandelicAcid_PCM</t>
  </si>
  <si>
    <t>\CHEMISTRY_CPOSS\Acridine\ACRDIN_CONDOR</t>
  </si>
  <si>
    <t>\CHEMISTRY_CPOSS\Acridine\ACRDIN_CP</t>
  </si>
  <si>
    <t>\CHEMISTRY_CPOSS\Agris\2chloro_4nitro_benzoicacid</t>
  </si>
  <si>
    <t>\CHEMISTRY_CPOSS\Agris\2chloro_4nitro_benzoicacid_monohydrate</t>
  </si>
  <si>
    <t>\CHEMISTRY_CPOSS\Agris\2chloro_5nitro_benzoicacid</t>
  </si>
  <si>
    <t>\CHEMISTRY_CPOSS\Agris\2chloro_5nitro_benzoicacid_monohydrate</t>
  </si>
  <si>
    <t>\CHEMISTRY_CPOSS\Agris\2hydroxy_4nitro_benzoicacid</t>
  </si>
  <si>
    <t>\CHEMISTRY_CPOSS\Agris\2hydroxy_4nitro_benzoicacid_monohydrate</t>
  </si>
  <si>
    <t>\CHEMISTRY_CPOSS\Agris\2methyl_4nitro_benzoicacid</t>
  </si>
  <si>
    <t>\CHEMISTRY_CPOSS\Agris\2methyl_4nitro_benzoicacid_monohydrate</t>
  </si>
  <si>
    <t>\CHEMISTRY_CPOSS\Agris\4chloro_2nitro_benzoicacid</t>
  </si>
  <si>
    <t>\CHEMISTRY_CPOSS\Agris\4chloro_2nitro_benzoicacid_monohydrate</t>
  </si>
  <si>
    <t>\CHEMISTRY_CPOSS\Agris\5chloro_2nitro_benzoicacid</t>
  </si>
  <si>
    <t>\CHEMISTRY_CPOSS\Agris\Nitrofurantoin</t>
  </si>
  <si>
    <t>\CHEMISTRY_CPOSS\alditols\ConOptSearches_FIT\sorbitol</t>
  </si>
  <si>
    <t>\CHEMISTRY_CPOSS\BenzylTetrazole\RPOGUA_CO</t>
  </si>
  <si>
    <t>\CHEMISTRY_CPOSS\BenzylTetrazole\RPOGUA_PCM</t>
  </si>
  <si>
    <t>\CHEMISTRY_CPOSS\betaResorcylicAcid\bRA_dihydrate</t>
  </si>
  <si>
    <t>\CHEMISTRY_CPOSS\betaResorcylicAcid\bRA_dihydrate_CO</t>
  </si>
  <si>
    <t>\CHEMISTRY_CPOSS\betaResorcylicAcid\bRA_dihydrate_PCM</t>
  </si>
  <si>
    <t>\CHEMISTRY_CPOSS\betaResorcylicAcid\bRA_hemihydrate</t>
  </si>
  <si>
    <t>\CHEMISTRY_CPOSS\betaResorcylicAcid\bRA_hemihydrate_CO</t>
  </si>
  <si>
    <t>\CHEMISTRY_CPOSS\betaResorcylicAcid\bRA_hemihydrate_PCM</t>
  </si>
  <si>
    <t>\CHEMISTRY_CPOSS\betaResorcylicAcid\bRA_monohydrate_CO</t>
  </si>
  <si>
    <t>\CHEMISTRY_CPOSS\betaResorcylicAcid\bRA_monohydrate_PCM</t>
  </si>
  <si>
    <t>\CHEMISTRY_CPOSS\BlindTest2010\KONTIQ\GallicAcid_COZ1</t>
  </si>
  <si>
    <t>\CHEMISTRY_CPOSS\BlindTest2010\KONTIQ\GallicAcid_COZ2</t>
  </si>
  <si>
    <t>\CHEMISTRY_CPOSS\BlindTest2010\KONTIQ\GallicAcid_rigid</t>
  </si>
  <si>
    <t>\CHEMISTRY_CPOSS\BlindTest2010\KONTIQ\GallicAcid_rigidZ2</t>
  </si>
  <si>
    <t>\CHEMISTRY_CPOSS\BlindTest2010\OBEQET\OBEQET\OBEQETfitSO</t>
  </si>
  <si>
    <t>\CHEMISTRY_CPOSS\BlindTest2010\OBEQET\OBEQET_CO</t>
  </si>
  <si>
    <t>\CHEMISTRY_CPOSS\BlindTest2010\OBEQET\OBEQET_CP</t>
  </si>
  <si>
    <t>\CHEMISTRY_CPOSS\BlindTest2010\OBEQIX\OBEQIX</t>
  </si>
  <si>
    <t>\CHEMISTRY_CPOSS\BlindTest2010\OBEQIX\OBEQIX_2</t>
  </si>
  <si>
    <t>\CHEMISTRY_CPOSS\BlindTest2010\OBEQOD\CP_CO</t>
  </si>
  <si>
    <t>\CHEMISTRY_CPOSS\BlindTest2010\OBEQOD\Molpak_Rigid</t>
  </si>
  <si>
    <t>\CHEMISTRY_CPOSS\BlindTest2010\OBEQUJ\CamNoInddbase</t>
  </si>
  <si>
    <t>\CHEMISTRY_CPOSS\BlindTest2010\OBEQUJ\CamwithCTdbase</t>
  </si>
  <si>
    <t>\CHEMISTRY_CPOSS\BlindTest2010\OBEQUJ\CNIRInd</t>
  </si>
  <si>
    <t>\CHEMISTRY_CPOSS\BlindTest2010\OBEQUJ\OBEQUJ_CrystOpt</t>
  </si>
  <si>
    <t>\CHEMISTRY_CPOSS\BlindTest2010\XATJOT\XATJOT</t>
  </si>
  <si>
    <t>\CHEMISTRY_CPOSS\BlindTest2010\XATJOT\XATJOT_CO</t>
  </si>
  <si>
    <t>\CHEMISTRY_CPOSS\BlindTest2015\NACJAF\CrystOpt</t>
  </si>
  <si>
    <t>\CHEMISTRY_CPOSS\BlindTest2015\NACJAF\CrystOpt_SH</t>
  </si>
  <si>
    <t>\CHEMISTRY_CPOSS\BlindTest2015\NACJAF\CrystPred</t>
  </si>
  <si>
    <t>\CHEMISTRY_CPOSS\BlindTest2015\NACJAF\Delaware</t>
  </si>
  <si>
    <t>\CHEMISTRY_CPOSS\BlindTest2015\NACJAF\Delaware2</t>
  </si>
  <si>
    <t>\CHEMISTRY_CPOSS\BlindTest2015\NACJAF\PCM</t>
  </si>
  <si>
    <t>\CHEMISTRY_CPOSS\BlindTest2015\NACJAF\PCM_SH</t>
  </si>
  <si>
    <t>\CHEMISTRY_CPOSS\BlindTest2015\XAFPAY\Anis</t>
  </si>
  <si>
    <t>\CHEMISTRY_CPOSS\BlindTest2015\XAFPAY\Anis_C-Cl</t>
  </si>
  <si>
    <t>\CHEMISTRY_CPOSS\BlindTest2015\XAFPAY\CrystOpt</t>
  </si>
  <si>
    <t>\CHEMISTRY_CPOSS\BlindTest2015\XAFPAY\CrystOpt_321G</t>
  </si>
  <si>
    <t>\CHEMISTRY_CPOSS\BlindTest2015\XAFPAY\CrystOpt_B3LYP</t>
  </si>
  <si>
    <t>\CHEMISTRY_CPOSS\BlindTest2015\XAFPAY\CrystOpt_Will</t>
  </si>
  <si>
    <t>\CHEMISTRY_CPOSS\BlindTest2015\XAFPAY\CrystPred</t>
  </si>
  <si>
    <t>\CHEMISTRY_CPOSS\BlindTest2015\XAFPAY\PCM</t>
  </si>
  <si>
    <t>\CHEMISTRY_CPOSS\BlindTest2015\XAFQAZ\CrystOpt</t>
  </si>
  <si>
    <t>\CHEMISTRY_CPOSS\BlindTest2015\XAFQAZ\CrystPred</t>
  </si>
  <si>
    <t>\CHEMISTRY_CPOSS\BlindTest2015\XAFQAZ\PCM</t>
  </si>
  <si>
    <t>\CHEMISTRY_CPOSS\BlindTest2015\XAFQIH\CrystOpt</t>
  </si>
  <si>
    <t>\CHEMISTRY_CPOSS\BlindTest2015\XAFQIH\CrystOpt_1</t>
  </si>
  <si>
    <t>\CHEMISTRY_CPOSS\BlindTest2015\XAFQIH\CrystOpt_Will</t>
  </si>
  <si>
    <t>\CHEMISTRY_CPOSS\BlindTest2015\XAFQIH\CrystPred</t>
  </si>
  <si>
    <t>\CHEMISTRY_CPOSS\BlindTest2015\XAFQIH\PCM</t>
  </si>
  <si>
    <t>\CHEMISTRY_CPOSS\BlindTest2015\XAFQON\CrystOpt_FIT</t>
  </si>
  <si>
    <t>\CHEMISTRY_CPOSS\BlindTest2015\XAFQON\CrystOpt_FIT_chloride</t>
  </si>
  <si>
    <t>\CHEMISTRY_CPOSS\BlindTest2015\XAFQON\CrystOpt_Will</t>
  </si>
  <si>
    <t>\CHEMISTRY_CPOSS\BlindTest2015\XAFQON\PCM11_FIT</t>
  </si>
  <si>
    <t>\CHEMISTRY_CPOSS\BlindTest2015\XAFQON\PCM11_FIT_chloride</t>
  </si>
  <si>
    <t>\CHEMISTRY_CPOSS\BlindTest2015\XAFQON\PCM11_Will</t>
  </si>
  <si>
    <t>\CHEMISTRY_CPOSS\BlindTest2015\XAFQON\PCM3_FIT</t>
  </si>
  <si>
    <t>\CHEMISTRY_CPOSS\Caffeine\Caffeine_DFTB</t>
  </si>
  <si>
    <t>\CHEMISTRY_CPOSS\Caffeine\Caffeine_disorder</t>
  </si>
  <si>
    <t>\CHEMISTRY_CPOSS\Caffeine_Paracetamol\Caffeine_Paracetamol</t>
  </si>
  <si>
    <t>\CHEMISTRY_CPOSS\CarbamazepineSeries\Carbamazepine_CO</t>
  </si>
  <si>
    <t>\CHEMISTRY_CPOSS\CarbamazepineSeries\Carbamazepine_PCM</t>
  </si>
  <si>
    <t>\CHEMISTRY_CPOSS\CarbamazepineSeries\Cyheptamide_CO</t>
  </si>
  <si>
    <t>\CHEMISTRY_CPOSS\CarbamazepineSeries\Cyheptamide_PCM</t>
  </si>
  <si>
    <t>\CHEMISTRY_CPOSS\CarbamazepineSeries\Oxcarbazepine_CO</t>
  </si>
  <si>
    <t>\CHEMISTRY_CPOSS\CarbamazepineSeries\Oxcarbazepine_PCM</t>
  </si>
  <si>
    <t>\CHEMISTRY_CPOSS\Desloratadine\CrystOpt</t>
  </si>
  <si>
    <t>\CHEMISTRY_CPOSS\Desloratadine\PCM</t>
  </si>
  <si>
    <t>\CHEMISTRY_CPOSS\DipicolinicAcid</t>
  </si>
  <si>
    <t>\CHEMISTRY_CPOSS\EphedriniumTartrate\CrystalOptimizer</t>
  </si>
  <si>
    <t>\CHEMISTRY_CPOSS\EphedriniumTartrate\PCM</t>
  </si>
  <si>
    <t>\CHEMISTRY_CPOSS\Estradiol\CrystOpt</t>
  </si>
  <si>
    <t>\CHEMISTRY_CPOSS\GallicAcid\MOLPAKsearch</t>
  </si>
  <si>
    <t>\CHEMISTRY_CPOSS\GallicAcid\MOLPAKsearch_PCM</t>
  </si>
  <si>
    <t>\CHEMISTRY_CPOSS\GentisicAcid\dihydrate_PCM</t>
  </si>
  <si>
    <t>\CHEMISTRY_CPOSS\GentisicAcid\hemihydrate_PCM</t>
  </si>
  <si>
    <t>\CHEMISTRY_CPOSS\GentisicAcid\monohydrate_PCM</t>
  </si>
  <si>
    <t>\CHEMISTRY_CPOSS\GSK269984B\BIFHOP</t>
  </si>
  <si>
    <t>\CHEMISTRY_CPOSS\GSK269984B\BIFHOP_Exp</t>
  </si>
  <si>
    <t>\CHEMISTRY_CPOSS\GSK269984B\BIFHOP_PCM</t>
  </si>
  <si>
    <t>\CHEMISTRY_CPOSS\GSK269984B\CrystalOptimizer</t>
  </si>
  <si>
    <t>\CHEMISTRY_CPOSS\Imperial\Glucose</t>
  </si>
  <si>
    <t>\CHEMISTRY_CPOSS\Indomethacin\CrystalOptimizer</t>
  </si>
  <si>
    <t>\CHEMISTRY_CPOSS\Indomethacin\DMAflex-Q</t>
  </si>
  <si>
    <t>\CHEMISTRY_CPOSS\Indomethacin\PCM</t>
  </si>
  <si>
    <t>\CHEMISTRY_CPOSS\Isocaffeine</t>
  </si>
  <si>
    <t>\CHEMISTRY_CPOSS\Isonicotinamide\CrystOpt_bigbasissetDMA</t>
  </si>
  <si>
    <t>\CHEMISTRY_CPOSS\Isonicotinamide\CrystOpt_nospli</t>
  </si>
  <si>
    <t>\CHEMISTRY_CPOSS\Isonicotinamide\CrystOpt_spli</t>
  </si>
  <si>
    <t>\CHEMISTRY_CPOSS\Isonicotinamide\PCM_spli</t>
  </si>
  <si>
    <t>\CHEMISTRY_CPOSS\JoeRidout\2-fluorotoluene-FIT</t>
  </si>
  <si>
    <t>\CHEMISTRY_CPOSS\JoeRidout\2-fluorotoluene-FIT1GPa</t>
  </si>
  <si>
    <t>\CHEMISTRY_CPOSS\JoeRidout\2-fluorotoluene-FIT2GPa</t>
  </si>
  <si>
    <t>\CHEMISTRY_CPOSS\JoeRidout\2-fluorotoluene-FIT3GPa</t>
  </si>
  <si>
    <t>\CHEMISTRY_CPOSS\JoeRidout\2-fluorotoluene-FIT4GPa</t>
  </si>
  <si>
    <t>\CHEMISTRY_CPOSS\JoeRidout\2-fluorotoluene-WILL</t>
  </si>
  <si>
    <t>\CHEMISTRY_CPOSS\JoeRidout\2fluoroethynylbenzene</t>
  </si>
  <si>
    <t>\CHEMISTRY_CPOSS\JoeRidout\2fluoroethynylbenzene_0.55GPa</t>
  </si>
  <si>
    <t>\CHEMISTRY_CPOSS\JoeRidout\3-fluorotoluene-FIT</t>
  </si>
  <si>
    <t>\CHEMISTRY_CPOSS\JoeRidout\3-fluorotoluene-FIT0.1GPa</t>
  </si>
  <si>
    <t>\CHEMISTRY_CPOSS\JoeRidout\3-fluorotoluene-FIT1GPa</t>
  </si>
  <si>
    <t>\CHEMISTRY_CPOSS\JoeRidout\3-fluorotoluene-FIT2GPa</t>
  </si>
  <si>
    <t>\CHEMISTRY_CPOSS\JoeRidout\3-fluorotoluene-FIT3GPa</t>
  </si>
  <si>
    <t>\CHEMISTRY_CPOSS\JoeRidout\3-fluorotoluene-FIT4GPa</t>
  </si>
  <si>
    <t>\CHEMISTRY_CPOSS\JoeRidout\4-fluorotoluene-FIT</t>
  </si>
  <si>
    <t>\CHEMISTRY_CPOSS\JoeRidout\4-fluorotoluene-FIT1GPa</t>
  </si>
  <si>
    <t>\CHEMISTRY_CPOSS\JoeRidout\4-fluorotoluene-FIT2GPa</t>
  </si>
  <si>
    <t>\CHEMISTRY_CPOSS\JoeRidout\4-fluorotoluene-FIT3GPa</t>
  </si>
  <si>
    <t>\CHEMISTRY_CPOSS\JoeRidout\4-fluorotoluene-FIT4GPa</t>
  </si>
  <si>
    <t>\CHEMISTRY_CPOSS\JoeRidout\anisole</t>
  </si>
  <si>
    <t>\CHEMISTRY_CPOSS\JoeRidout\m-xylene</t>
  </si>
  <si>
    <t>\CHEMISTRY_CPOSS\JoeRidout\o-xylene</t>
  </si>
  <si>
    <t>\CHEMISTRY_CPOSS\JoeRidout\p-xylene</t>
  </si>
  <si>
    <t>\CHEMISTRY_CPOSS\Lactides\CrystalOptimizer</t>
  </si>
  <si>
    <t>\CHEMISTRY_CPOSS\Lactides\PCM_cuto15</t>
  </si>
  <si>
    <t>\CHEMISTRY_CPOSS\Lactides\PCM_cuto30</t>
  </si>
  <si>
    <t>\CHEMISTRY_CPOSS\Lactides\racemic-CrystalPredictor</t>
  </si>
  <si>
    <t>\CHEMISTRY_CPOSS\LucasSearches\BlindTest_XX</t>
  </si>
  <si>
    <t>\CHEMISTRY_CPOSS\LucasSearches\BlindTest_XXIII</t>
  </si>
  <si>
    <t>\CHEMISTRY_CPOSS\LucasSearches\BlindTest_XXVI</t>
  </si>
  <si>
    <t>\CHEMISTRY_CPOSS\LucasSearches\GSK_moleculeC</t>
  </si>
  <si>
    <t>\CHEMISTRY_CPOSS\LucasSearches\MebendazoleA</t>
  </si>
  <si>
    <t>\CHEMISTRY_CPOSS\LucasSearches\MebendazoleC</t>
  </si>
  <si>
    <t>\CHEMISTRY_CPOSS\LY2624803\CrystOpt</t>
  </si>
  <si>
    <t>\CHEMISTRY_CPOSS\LY2624803\DMAflex-Quick</t>
  </si>
  <si>
    <t>\CHEMISTRY_CPOSS\LY2624803\PCM</t>
  </si>
  <si>
    <t>\CHEMISTRY_CPOSS\LY2806920\CrystOpt</t>
  </si>
  <si>
    <t>\CHEMISTRY_CPOSS\LY2806920\DMAflex-Quick</t>
  </si>
  <si>
    <t>\CHEMISTRY_CPOSS\LY2806920\ELLSPA_CO</t>
  </si>
  <si>
    <t>\CHEMISTRY_CPOSS\LY2806920\PCM</t>
  </si>
  <si>
    <t>\CHEMISTRY_CPOSS\MagnaPharm\Chalcones\CrystalOptimizer</t>
  </si>
  <si>
    <t>\CHEMISTRY_CPOSS\MagnaPharm\Coronene</t>
  </si>
  <si>
    <t>\CHEMISTRY_CPOSS\MagnaPharm\Diclofenac\CrystalOptimizer</t>
  </si>
  <si>
    <t>\CHEMISTRY_CPOSS\MagnaPharm\Diclofenac\CrystalPredictor</t>
  </si>
  <si>
    <t>\CHEMISTRY_CPOSS\MagnaPharm\Ibuprofen\CrystalPredictor</t>
  </si>
  <si>
    <t>\CHEMISTRY_CPOSS\MagnaPharm\Ibuprofen\CrystOpt</t>
  </si>
  <si>
    <t>\CHEMISTRY_CPOSS\MagnaPharm\Ibuprofen\DFTB3</t>
  </si>
  <si>
    <t>\CHEMISTRY_CPOSS\MagnaPharm\Ibuprofen\DFTB3_CrystOpt</t>
  </si>
  <si>
    <t>\CHEMISTRY_CPOSS\MagnaPharm\Lamotrigine\CP_Dmacrys</t>
  </si>
  <si>
    <t>\CHEMISTRY_CPOSS\MagnaPharm\Lamotrigine\CrystOpt</t>
  </si>
  <si>
    <t>\CHEMISTRY_CPOSS\Mebendazole\A\CrystOpt</t>
  </si>
  <si>
    <t>\CHEMISTRY_CPOSS\Mebendazole\A\PCM</t>
  </si>
  <si>
    <t>\CHEMISTRY_CPOSS\Mebendazole\A\Will</t>
  </si>
  <si>
    <t>\CHEMISTRY_CPOSS\Mebendazole\C\CrystOpt</t>
  </si>
  <si>
    <t>\CHEMISTRY_CPOSS\Mebendazole\C\PCM</t>
  </si>
  <si>
    <t>\CHEMISTRY_CPOSS\Mebendazole\C\Will</t>
  </si>
  <si>
    <t>\CHEMISTRY_CPOSS\Mebendazole\SingleIterationCO\A</t>
  </si>
  <si>
    <t>\CHEMISTRY_CPOSS\Mebendazole\SingleIterationCO\C</t>
  </si>
  <si>
    <t>\CHEMISTRY_CPOSS\Methanol</t>
  </si>
  <si>
    <t>\CHEMISTRY_CPOSS\Naproxen\naproxen_molpak</t>
  </si>
  <si>
    <t>\CHEMISTRY_CPOSS\Olanzapine\Amoxapine\Amox-CO</t>
  </si>
  <si>
    <t>\CHEMISTRY_CPOSS\Olanzapine\Amoxapine\Amox-CP</t>
  </si>
  <si>
    <t>\CHEMISTRY_CPOSS\Olanzapine\Amoxapine\pbe_molpak</t>
  </si>
  <si>
    <t>\CHEMISTRY_CPOSS\Olanzapine\Clozapine\exp01_molpak</t>
  </si>
  <si>
    <t>\CHEMISTRY_CPOSS\Olanzapine\CrystalOptimizer</t>
  </si>
  <si>
    <t>\CHEMISTRY_CPOSS\Olanzapine\CrystalPredictor</t>
  </si>
  <si>
    <t>\CHEMISTRY_CPOSS\Olanzapine\Loxapine\CrystPred</t>
  </si>
  <si>
    <t>\CHEMISTRY_CPOSS\Olanzapine\Loxapine\pbe_molpak</t>
  </si>
  <si>
    <t>\CHEMISTRY_CPOSS\Olanzapine\PCM</t>
  </si>
  <si>
    <t>\CHEMISTRY_CPOSS\Olanzapine\PCM_properties</t>
  </si>
  <si>
    <t>\CHEMISTRY_CPOSS\Paracetamol\CrystOpt</t>
  </si>
  <si>
    <t>\CHEMISTRY_CPOSS\Pyridine\FITGDMA</t>
  </si>
  <si>
    <t>\CHEMISTRY_CPOSS\Pyridone\FIT</t>
  </si>
  <si>
    <t>\CHEMISTRY_CPOSS\Pyridone\WILLIAMS</t>
  </si>
  <si>
    <t>\CHEMISTRY_CPOSS\Saccharin</t>
  </si>
  <si>
    <t>\CHEMISTRY_CPOSS\Salsalate\CrystOpt</t>
  </si>
  <si>
    <t>\CHEMISTRY_CPOSS\Salsalate\PCM</t>
  </si>
  <si>
    <t>\CHEMISTRY_CPOSS\SaltOrCocrystal-IntJPharm2011\cyanopyridinefluorobenzoicacid\4cyanopyridine-4fluorobenzoicacid</t>
  </si>
  <si>
    <t>\CHEMISTRY_CPOSS\SaltOrCocrystal-IntJPharm2011\cyanopyridinefluorobenzoicacid\4cyanopyridinium-4fluorobenzoate</t>
  </si>
  <si>
    <t>\CHEMISTRY_CPOSS\SaltOrCocrystal-IntJPharm2011\dimethylaminopyridinemaleicacid\4dimethylaminopyridine-maleicacid</t>
  </si>
  <si>
    <t>\CHEMISTRY_CPOSS\SaltOrCocrystal-IntJPharm2011\dimethylaminopyridinemaleicacid\4dimethylaminopyridinium-maleate</t>
  </si>
  <si>
    <t>\CHEMISTRY_CPOSS\SaltOrCocrystal-IntJPharm2011\pyridineisophthalicacid\pyridine-isophthalicacid</t>
  </si>
  <si>
    <t>\CHEMISTRY_CPOSS\SaltOrCocrystal-IntJPharm2011\pyridineisophthalicacid\pyridiniumisophthalate</t>
  </si>
  <si>
    <t>\CHEMISTRY_CPOSS\SuccinicAcid\Conformer_Generator\CrystalOptimizer</t>
  </si>
  <si>
    <t>\CHEMISTRY_CPOSS\SuccinicAcid\Conformer_Generator\PCM</t>
  </si>
  <si>
    <t>\CHEMISTRY_CPOSS\SuccinicAcid\CrystalOptimizer_bestLAM</t>
  </si>
  <si>
    <t>\CHEMISTRY_CPOSS\SuccinicAcid\CrystalOptimizer_Uintra0</t>
  </si>
  <si>
    <t>\CHEMISTRY_CPOSS\SuccinicAcid\CrystalPredictor_bestLAM</t>
  </si>
  <si>
    <t>\CHEMISTRY_CPOSS\SuccinicAcid\CrystalPredictor_Uintra0</t>
  </si>
  <si>
    <t>\CHEMISTRY_CPOSS\SuccinicAcid\PCM_bestLAM</t>
  </si>
  <si>
    <t>\CHEMISTRY_CPOSS\SuccinicAcid\PCM_bestLAM_BZa</t>
  </si>
  <si>
    <t>\CHEMISTRY_CPOSS\SuccinicAcid\PCM_Uintra0</t>
  </si>
  <si>
    <t>\CHEMISTRY_CPOSS\SuccinicAcid\PCM_Uintra0_BZa</t>
  </si>
  <si>
    <t>\CHEMISTRY_CPOSS\SuccinicAcidCocrystals\Bipyridine</t>
  </si>
  <si>
    <t>\CHEMISTRY_CPOSS\SuccinicAcidCocrystals\Bipyridine_CO</t>
  </si>
  <si>
    <t>\CHEMISTRY_CPOSS\SuccinicAcidCocrystals\Bipyridine_SuccinicAcid</t>
  </si>
  <si>
    <t>\CHEMISTRY_CPOSS\SuccinicAcidCocrystals\Bipyridine_SuccinicAcid_CO</t>
  </si>
  <si>
    <t>\CHEMISTRY_CPOSS\SuccinicAcidCocrystals\Dicyanobenzene</t>
  </si>
  <si>
    <t>\CHEMISTRY_CPOSS\SuccinicAcidCocrystals\Dicyanobenzene_SuccinicAcid</t>
  </si>
  <si>
    <t>\CHEMISTRY_CPOSS\SuccinicAcidCocrystals\Dicyanobenzene_SuccinicAcid_CO</t>
  </si>
  <si>
    <t>\CHEMISTRY_CPOSS\SuccinicAcidCocrystals\Succinic</t>
  </si>
  <si>
    <t>\CHEMISTRY_CPOSS\SuccinicAcidCocrystals\Succinic_CO</t>
  </si>
  <si>
    <t>\CHEMISTRY_CPOSS\Tazofelone\Tazofelone_CO</t>
  </si>
  <si>
    <t>\CHEMISTRY_CPOSS\Tazofelone\Tazofelone_CP</t>
  </si>
  <si>
    <t>\CHEMISTRY_CPOSS\Tazofelone\Tazofelone_CP_wrong</t>
  </si>
  <si>
    <t>\CHEMISTRY_CPOSS\Tetrazol\Tetrazol-pyrazine\CrystOpt</t>
  </si>
  <si>
    <t>\CHEMISTRY_CPOSS\Tetrazol\Tetrazol-pyrazine\CrystOpt_will</t>
  </si>
  <si>
    <t>\CHEMISTRY_CPOSS\Tetrazol\Tetrazol-pyrazine\PCM</t>
  </si>
  <si>
    <t>\CHEMISTRY_CPOSS\Tetrazol\Tetrazol-pyrimidine\CrystOpt</t>
  </si>
  <si>
    <t>\CHEMISTRY_CPOSS\Tetrazol\Tetrazol-pyrimidine\CrystOpt_will</t>
  </si>
  <si>
    <t>\CHEMISTRY_CPOSS\Tetrazol\Tetrazol-pyrimidine\PCM</t>
  </si>
  <si>
    <t>\CHEMISTRY_CPOSS\TetrolicAcid\CrystOpt</t>
  </si>
  <si>
    <t>\CHEMISTRY_CPOSS\TetrolicAcid\PCM</t>
  </si>
  <si>
    <t>\CHEMISTRY_CPOSS\Trifluoroethanol\CrystOpt</t>
  </si>
  <si>
    <t>\CHEMISTRY_CPOSS\Trifluoroethanol\CrystOptZ2</t>
  </si>
  <si>
    <t>\CHEMISTRY_CPOSS\Urea\CP_DMACRYS</t>
  </si>
  <si>
    <t>\CHEMISTRY_CPOSS\Urea\CrystOpt</t>
  </si>
  <si>
    <t>Michael Lawrence / Dave Case</t>
  </si>
  <si>
    <t>\CHEMISTRY_CPOSS\Sulfadiazine\CrystOpt\</t>
  </si>
  <si>
    <t>Study_ID=20, CrystalOptimizer (2.4.7.1), DMACRYS (2.3.1.1)</t>
  </si>
  <si>
    <t>January 2023</t>
  </si>
  <si>
    <t>C10 H10 N4 O2 S1</t>
  </si>
  <si>
    <t>CANDUR01, CANDUR02, CANDUR03</t>
  </si>
  <si>
    <t>2 experimental (from exp); 4 search</t>
  </si>
  <si>
    <t>Yes, CSD version 5.43 with Mar, Jun, Sep and Nov 2022 updates</t>
  </si>
  <si>
    <t>TEVSOD, TEVSOD01, TEVSOD02</t>
  </si>
  <si>
    <t>3 experimental (one from exp), 3 search</t>
  </si>
  <si>
    <t>Study_ID=10, DMACRYS (2.0.8RC1)</t>
  </si>
  <si>
    <t>Rigid CrystalPredictor (1.6), CrystalOptimizer (2.3), DMACRYS (2.0.8RC1)</t>
  </si>
  <si>
    <t>/CHEMISTRY_CPOSS/CarbamazepineSeries/Cytenamide_PCM</t>
  </si>
  <si>
    <t>/CHEMISTRY_CPOSS/CarbamazepineSeries/Cytenamide_CO</t>
  </si>
  <si>
    <t>Study_ID=10, DMACRYS (2.2.0.1)</t>
  </si>
  <si>
    <t>Flexible CrystalPredictor (2.1.01), CrystalOptimizer (2.4.m), DMACRYS (2.2.0.1)</t>
  </si>
  <si>
    <t>2 experimental (1 from exp), 3 from search</t>
  </si>
  <si>
    <t>Mini document location</t>
  </si>
  <si>
    <t>In SODNOP_overview</t>
  </si>
  <si>
    <t>/CHEMISTRY_CPOSS/CarbamazepineSeries/Dihydrocarbamazepine_CO</t>
  </si>
  <si>
    <t>/CHEMISTRY_CPOSS/CarbamazepineSeries/Dihydrocarbamazepine_PCM</t>
  </si>
  <si>
    <t>See Study_ID=12</t>
  </si>
  <si>
    <t>CrystalPredictor (2.1.01), CrystalOptimizer (2.4.m), DMACRYS (2.2.0.1)</t>
  </si>
  <si>
    <t>In VACTAU_overview</t>
  </si>
  <si>
    <t>In CANDUR_overview</t>
  </si>
  <si>
    <t>In TEVSOD_overview</t>
  </si>
  <si>
    <t>/CHEMISTRY_CPOSS/Fenamates/FlufenamicAcid/FPAMCA_CO</t>
  </si>
  <si>
    <t>/CHEMISTRY_CPOSS/Fenamates/FlufenamicAcid/FPAMCA_PCM</t>
  </si>
  <si>
    <t>/CHEMISTRY_CPOSS/Fenamates/FenamicAcid/QQQBTY_CO</t>
  </si>
  <si>
    <t>/CHEMISTRY_CPOSS/Fenamates/FenamicAcid/QQQBTY_PCM</t>
  </si>
  <si>
    <t>/CHEMISTRY_CPOSS/Fenamates/MefenamicAcid/XYANAC_CO</t>
  </si>
  <si>
    <t>/CHEMISTRY_CPOSS/Fenamates/MefenamicAcid/XYANAC_CP</t>
  </si>
  <si>
    <t>/CHEMISTRY_CPOSS/Fenamates/MefenamicAcid/XYANAC_PCM</t>
  </si>
  <si>
    <t>/CHEMISTRY_CPOSS/Fenamates/NiflumicAcid/NIFLUM_CO</t>
  </si>
  <si>
    <t>/CHEMISTRY_CPOSS/Fenamates/TolfenamicAcid/KAXXAI_CO</t>
  </si>
  <si>
    <t>/CHEMISTRY_CPOSS/Fenamates/TolfenamicAcid/KAXXAI_CO2</t>
  </si>
  <si>
    <t>/CHEMISTRY_CPOSS/Fenamates/TolfenamicAcid/KAXXAI_CP</t>
  </si>
  <si>
    <t>/CHEMISTRY_CPOSS/Fenamates/TolfenamicAcid/KAXXAI_PCM</t>
  </si>
  <si>
    <t>/CHEMISTRY_CPOSS/Fenamates/TolfenamicAcid/KAXXAI_PCM2</t>
  </si>
  <si>
    <t>C13 H11 N1 O2</t>
  </si>
  <si>
    <t>Flexible CrystalPredictor (1.9), CrystalOptimizer (2.4.5), DMACRYS (2.2.1.0)</t>
  </si>
  <si>
    <t>In NIFLUM_overview</t>
  </si>
  <si>
    <t>Flexible CrystalPredictor (1.6), dmaflex-Quick, CrystalOptimizer (2.2), DMACRYS (2.0.4)</t>
  </si>
  <si>
    <t>Study_ID=10, DMACRYS (2.0.8)</t>
  </si>
  <si>
    <t>In QQQBTY_overview</t>
  </si>
  <si>
    <t>Study_ID=20, CrystalOptimizer (2.3), DMACRYS (2.0.8RC1)</t>
  </si>
  <si>
    <t>Flexible CrystalPredictor (1.6), DMACRYS (2.0.4)</t>
  </si>
  <si>
    <t>In XYANAC_overview</t>
  </si>
  <si>
    <t>Flexible CrystalPredictor (1.8), CrystalOptimizer (2.4.5), DMACRYS (2.2.1.0)</t>
  </si>
  <si>
    <t>In FPAMCA_overview</t>
  </si>
  <si>
    <t>See Study_ID=31</t>
  </si>
  <si>
    <t>CrystalPredictor (1.8), dmaflex-Quick, DMACRYS (2.2.0.1)</t>
  </si>
  <si>
    <t>Study_ID=21, CrystalOptimizer (2.4.m), DMACRYS (2.2.0.1)</t>
  </si>
  <si>
    <t>Study_ID=11, DMACRYS (2.2.0.1)</t>
  </si>
  <si>
    <t>KAXXAI, KAXXAI01, KAXXAI02, KAXXAI03, KAXXAI04, KAXXAI05, KAXXAI06, KAXXAI07, KAXXAI11</t>
  </si>
  <si>
    <t>In KAXXAI_overview</t>
  </si>
  <si>
    <t>CrystalPredictor (1.8), CrystalOptimizer (2.1), DMACRYS (2.0.4)</t>
  </si>
  <si>
    <t>Study_ID=10, DMACRYS (2.0.4)</t>
  </si>
  <si>
    <t>NIJHUJ</t>
  </si>
  <si>
    <t>C3 H8 N2 O1</t>
  </si>
  <si>
    <t>Dimethylurea</t>
  </si>
  <si>
    <t>N,N'-dimethylurea</t>
  </si>
  <si>
    <t>NUJHUJ03, NIJHUJ04</t>
  </si>
  <si>
    <t>/CHEMISTRY_CPOSS/Dimethylurea/CrystPred/</t>
  </si>
  <si>
    <t>Ricarda Duss</t>
  </si>
  <si>
    <t>rigid CrystalPredictor (2.4.3), DMACRYS (2.3.1.1)</t>
  </si>
  <si>
    <t>Masters thesis</t>
  </si>
  <si>
    <t>April 2023</t>
  </si>
  <si>
    <t>Yes, CSD version 5.44 with Jun and Sep 2023 updates</t>
  </si>
  <si>
    <t>flexible CrystalPredictor (2.2), CrystalOptimizer (2.4.7), DMACRYS (2.3.0)</t>
  </si>
  <si>
    <t>Done by Louise, based on analysis in paper</t>
  </si>
  <si>
    <t>14 structures</t>
  </si>
  <si>
    <t>In separate spreadsheet (but see paper)</t>
  </si>
  <si>
    <t>Yes, CSD version 5.45</t>
  </si>
  <si>
    <t>Rigid CrystalPredictor (v1.6), DMAFEX-quick, CrystalOptimizer (v2.1), DMACRYS (v2.0.4)</t>
  </si>
  <si>
    <t>Number of polymorphs</t>
  </si>
  <si>
    <t>Add Packing coefficients</t>
  </si>
  <si>
    <t>MOLPAK, DMACRYS (2.0.8b)</t>
  </si>
  <si>
    <t>Rigid CrystalPredictor (unknown), DMACRYS (2.0.2)</t>
  </si>
  <si>
    <t>MOLPAK</t>
  </si>
  <si>
    <t>MOLPAK, dmaflex2, DMACRYS (1.1.1)</t>
  </si>
  <si>
    <t>Unknown</t>
  </si>
  <si>
    <t>None</t>
  </si>
  <si>
    <t>MOLPAK, DMAREL (4.1.1)</t>
  </si>
  <si>
    <t>Study_ID=20, CrystOpt (2.0), DMACRYS (2.3.1.1)</t>
  </si>
  <si>
    <t>In Dropbox (UCL)\PriceGroup\DatabaseUpdate\Molecules\Small Rigid 10-15\Saccharin</t>
  </si>
  <si>
    <t>Study_ID=12, DMACRYS (2.3.1.1), BZ-averaged props</t>
  </si>
  <si>
    <t>Yes, CSD version 5.44 with April 2023 update</t>
  </si>
  <si>
    <t>MOLPAK, DMAREL (3.0)</t>
  </si>
  <si>
    <t>Barnett SA, Johnston A, Florence AJ, Price SL, Tocher DA, 2008. Cryst. Growth Des. 8, 24-36.</t>
  </si>
  <si>
    <t>Flexible CrystalPredictor (2.4.3), DMACRYS (2.3.1.1)</t>
  </si>
  <si>
    <t>2005-2008</t>
  </si>
  <si>
    <t>January 2024</t>
  </si>
  <si>
    <t>/CHEMISTRY_CPOSS/DiChloroNitroBenzene/23dcnb/CrystPred/</t>
  </si>
  <si>
    <t>/CHEMISTRY_CPOSS/DiChloroNitroBenzene/23dcnb/CrystOpt/</t>
  </si>
  <si>
    <t>Study_ID=10, DMACRYS (2.3.1.1)</t>
  </si>
  <si>
    <t>/CHEMISTRY_CPOSS/DiChloroNitroBenzene/23dcnb/PCM/</t>
  </si>
  <si>
    <t>2005-8</t>
  </si>
  <si>
    <t>/CHEMISTRY_CPOSS/DiChloroNitroBenzene/24dcnb/CrystOpt/</t>
  </si>
  <si>
    <t>/CHEMISTRY_CPOSS/DiChloroNitroBenzene/24dcnb/CrystPred/</t>
  </si>
  <si>
    <t>/CHEMISTRY_CPOSS/DiChloroNitroBenzene/24dcnb/PCM/</t>
  </si>
  <si>
    <t>/CHEMISTRY_CPOSS/DiChloroNitroBenzene/25dcnb/CrystOpt/</t>
  </si>
  <si>
    <t>/CHEMISTRY_CPOSS/DiChloroNitroBenzene/25dcnb/CrystPred/</t>
  </si>
  <si>
    <t>/CHEMISTRY_CPOSS/DiChloroNitroBenzene/25dcnb/PCM/</t>
  </si>
  <si>
    <t>/CHEMISTRY_CPOSS/DiChloroNitroBenzene/34dcnb/CrystOpt/</t>
  </si>
  <si>
    <t>/CHEMISTRY_CPOSS/DiChloroNitroBenzene/34dcnb/CrystPred/</t>
  </si>
  <si>
    <t>/CHEMISTRY_CPOSS/DiChloroNitroBenzene/34dcnb/PCM/</t>
  </si>
  <si>
    <t>CAGPUV01</t>
  </si>
  <si>
    <t>HIBWEU02</t>
  </si>
  <si>
    <t>ZZZEKW02</t>
  </si>
  <si>
    <t>/CHEMISTRY_CPOSS/DiChloroNitroBenzene/35dcnb/CrystOpt/</t>
  </si>
  <si>
    <t>/CHEMISTRY_CPOSS/DiChloroNitroBenzene/35dcnb/CrystPred/</t>
  </si>
  <si>
    <t>/CHEMISTRY_CPOSS/DiChloroNitroBenzene/35dcnb/PCM/</t>
  </si>
  <si>
    <t>Rui did some and Louise has done more</t>
  </si>
  <si>
    <t>Lowest energy only</t>
  </si>
  <si>
    <t>Study_ID=20, DMACRYS (2.3.1.1)</t>
  </si>
  <si>
    <t>Database updating paper</t>
  </si>
  <si>
    <t>Louise has done it</t>
  </si>
  <si>
    <t>\CHEMISTRY_CPOSS\Acridine\ACRDIN_DFT</t>
  </si>
  <si>
    <t>1 experimental and 4 hypothetical</t>
  </si>
  <si>
    <t>3 experimental and 5 hypothetical</t>
  </si>
  <si>
    <t>Yes, CSD Version 5.45 with Nov 2023 update</t>
  </si>
  <si>
    <t>C14 H14 O3</t>
  </si>
  <si>
    <t>COYRUD14, PAPTUX</t>
  </si>
  <si>
    <t>Rigid CrystalPredictor (run at IC by Panos), DMACRYS (2.0.2a)</t>
  </si>
  <si>
    <t>Study_ID=0 and Study_ID=2, CrystalOptimizer (2.0), DMACRYS (2.0.2)</t>
  </si>
  <si>
    <t>2009-2010</t>
  </si>
  <si>
    <t>June 2024</t>
  </si>
  <si>
    <t>No</t>
  </si>
  <si>
    <t>\CHEMISTRY_CPOSS\Naproxen\naproxen_crystpred</t>
  </si>
  <si>
    <t>\CHEMISTRY_CPOSS\Naproxen\naproxen_crystopt</t>
  </si>
  <si>
    <t>\CHEMISTRY_CPOSS\Naproxen\CrystPred</t>
  </si>
  <si>
    <t>In BZYACO_overview</t>
  </si>
  <si>
    <t>Potticary J, Hall CL, Guo R, Price SL, Hall SR, Cryst Growth Des, 2021, 21(11), 6254-6265</t>
  </si>
  <si>
    <t>In FURACL_overview</t>
  </si>
  <si>
    <t>Weijia Zhu; Louise Price</t>
  </si>
  <si>
    <t>Energy range / kJ mol-1</t>
  </si>
  <si>
    <t>S-2-(6-methoxynaphthalen-2-yl)propanoic acid</t>
  </si>
  <si>
    <t>/CHEMISTRY_CPOSS/Dimethylurea/CrystOpt/</t>
  </si>
  <si>
    <t>Study_ID=20, CrystalOptimizer (2.4.7), DMACRYS (2.3.1.1)</t>
  </si>
  <si>
    <t>May 2023</t>
  </si>
  <si>
    <t>KAXXAI01, KAXXAI, KAXXAI02, KAXXAI03, KAXXAI04, KAXXAI07, KAXXAI05, KAXXAI06, KAXXAI11</t>
  </si>
  <si>
    <t>/CHEMISTRY_CPOSS/Fenamates/TolfenamicAcid/KAXXAI_DFT</t>
  </si>
  <si>
    <t>Study_ID=11, CrystalOptimizer (2.4.7), DMACRYS (2.3.1.1)</t>
  </si>
  <si>
    <t xml:space="preserve">FPAMCA18, FPAMCA17, FPAMCA19, FPAMCA15, FPAMCA16, FPAMCA14, FPAMCA20, FPAMCA13 </t>
  </si>
  <si>
    <t>/CHEMISTRY_CPOSS/Fenamates/FlufenamicAcid/FPAMCA_DFT</t>
  </si>
  <si>
    <t>Study_ID=10, CrystalOptimizer (2.4.7), DMACRYS (2.3.1.1)</t>
  </si>
  <si>
    <t>/CHEMISTRY_CPOSS/Fenamates/NiflumicAcid/NIFLUM_DFT</t>
  </si>
  <si>
    <t>Fenamic Acid</t>
  </si>
  <si>
    <t>N-phenyl-anthranilic acid, 2-Aniliobenzoic Acid</t>
  </si>
  <si>
    <t>/CHEMISTRY_CPOSS/Fenamates/FenamicAcid/QQQBTY_DFT</t>
  </si>
  <si>
    <t>XYANAC06, XYANAC05, XYANAC03</t>
  </si>
  <si>
    <t>/CHEMISTRY_CPOSS/Fenamates/MefenamicAcid/XYANAC_DFT</t>
  </si>
  <si>
    <t>Number this week</t>
  </si>
  <si>
    <t>Running total</t>
  </si>
  <si>
    <t>Running percentage</t>
  </si>
  <si>
    <t>Target number</t>
  </si>
  <si>
    <t>Week</t>
  </si>
  <si>
    <t>On target?</t>
  </si>
  <si>
    <t>UNOGIN03, UNOGIN04, UNOGIN06, UNOGIN05</t>
  </si>
  <si>
    <t>Flexible CrystalPredictor (1.x), dmaflex-Quick, DMACRYS (2.0.4)</t>
  </si>
  <si>
    <t>Study_ID=20, CrystalOptimizer, DMACRYS (2.0.4)</t>
  </si>
  <si>
    <t>Study_ID=11, DMACRYS (2.0.4)</t>
  </si>
  <si>
    <t>In \CHEMISTRY_CPOSS\Olanzapine\PCM\UNOGIN_overview</t>
  </si>
  <si>
    <t>Github</t>
  </si>
  <si>
    <t>Chemiscope</t>
  </si>
  <si>
    <t>SUCACB03, SUCACB07, SUCACB10, SUCACB19</t>
  </si>
  <si>
    <t>Rigid CrystalPredictor (unknown), CrystalOptimizer (2.4.4), DMACRYS (2.2.1.0)</t>
  </si>
  <si>
    <t>Study_ID=11, DMACRYS (2.2.1.0)</t>
  </si>
  <si>
    <t>Flexible CrystalPredictor (2.2), DMACRYS (2.2.1.0)</t>
  </si>
  <si>
    <t>Study_ID=22, CrystalOptimizer (2.4.4), DMACRYS (2.2.1.0)</t>
  </si>
  <si>
    <t>Study_ID=23, CrystalOptimizer (2.4.4), DMACRYS (2.2.1.0)</t>
  </si>
  <si>
    <t>Study_ID=12, DMACRYS (2.2.0.1)</t>
  </si>
  <si>
    <t>Study_ID=13, DMACRYS (2.2.0.1)</t>
  </si>
  <si>
    <t>Study_ID=12, DMACRYS (2.2.0.1), BZ-averaged props</t>
  </si>
  <si>
    <t>Study_ID=13, DMACRYS (2.2.0.1), BZ-averaged props</t>
  </si>
  <si>
    <t>In SUCACB_overview</t>
  </si>
  <si>
    <r>
      <t xml:space="preserve">N Issa, SA Barnett, S Mohamed, DE Braun, RCB Copley, DA Tocher, SL Price, </t>
    </r>
    <r>
      <rPr>
        <i/>
        <sz val="11"/>
        <rFont val="Calibri"/>
        <family val="2"/>
      </rPr>
      <t>CrystEngComm</t>
    </r>
    <r>
      <rPr>
        <sz val="11"/>
        <rFont val="Calibri"/>
        <family val="2"/>
      </rPr>
      <t xml:space="preserve">, 2012, </t>
    </r>
    <r>
      <rPr>
        <b/>
        <sz val="11"/>
        <rFont val="Calibri"/>
        <family val="2"/>
      </rPr>
      <t>14</t>
    </r>
    <r>
      <rPr>
        <sz val="11"/>
        <rFont val="Calibri"/>
        <family val="2"/>
      </rPr>
      <t>, 2454-2464</t>
    </r>
  </si>
  <si>
    <t>P Lucaioli, E Nauha, I Gimondi, LS Price, R Guo, L Iuzzolino, I Singh, M Salvalaglio, SL Price, N Blagden, CrystEngComm 2018, 20, 3971-3977.</t>
  </si>
  <si>
    <t>Not stored</t>
  </si>
  <si>
    <t>SuccinicAcid_C1</t>
  </si>
  <si>
    <t>SuccinicAcid_C2</t>
  </si>
  <si>
    <t>SuccinicAcid_B1</t>
  </si>
  <si>
    <t>SuccinicAcid_A1</t>
  </si>
  <si>
    <t>SuccinicAcid_B2</t>
  </si>
  <si>
    <t>SuccinicAcid_A2</t>
  </si>
  <si>
    <t>SuccinicAcid_B3</t>
  </si>
  <si>
    <t>SuccinicAcid_A3</t>
  </si>
  <si>
    <t>Olanzapine_A2</t>
  </si>
  <si>
    <t>Olanzapine_A1</t>
  </si>
  <si>
    <t>Olanzapine_A3</t>
  </si>
  <si>
    <t>Olanzapine_B1</t>
  </si>
  <si>
    <t>Olanzapine_B2</t>
  </si>
  <si>
    <t>Study_ID=0, dmaflex, DMAREL (4.1.1)</t>
  </si>
  <si>
    <t>Rigid CrystalPredictor (1.x), DMACRYS (2.0.2)</t>
  </si>
  <si>
    <t>SuccinicAcid_D1</t>
  </si>
  <si>
    <t>SuccinicAcid_D2</t>
  </si>
  <si>
    <t>Study_ID=20, CrystalOptimizer, DMACRYS (2.0.2)</t>
  </si>
  <si>
    <t>Panos Karamertzanis</t>
  </si>
  <si>
    <t>In CBMZPN_overview</t>
  </si>
  <si>
    <t>5H-Dibenz[b,f]azepine-5-carboxamide; Carbamazepine; Carbazepine; Epitol; Tegertol; Tegretol; Teril</t>
  </si>
  <si>
    <t>Carbamazepine_A1</t>
  </si>
  <si>
    <t>Carbamazepine_A2</t>
  </si>
  <si>
    <t>Carbamazepine_B1</t>
  </si>
  <si>
    <t>Carbamazepine_B2</t>
  </si>
  <si>
    <t>Date to Github</t>
  </si>
  <si>
    <t>wc 28/10/2024</t>
  </si>
  <si>
    <t>28/10/2024</t>
  </si>
  <si>
    <t>04/11/2024</t>
  </si>
  <si>
    <t>11/11/2024</t>
  </si>
  <si>
    <t>18/11/2024</t>
  </si>
  <si>
    <t>25/11/2024</t>
  </si>
  <si>
    <t>02/12/2024</t>
  </si>
  <si>
    <t>09/12/2024</t>
  </si>
  <si>
    <t>16/12/2024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</si>
  <si>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</si>
  <si>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</si>
  <si>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</si>
  <si>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</si>
  <si>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</si>
  <si>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</si>
  <si>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</si>
  <si>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</si>
  <si>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</si>
  <si>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</si>
  <si>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</si>
  <si>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</si>
  <si>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</si>
  <si>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</si>
  <si>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</si>
  <si>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</si>
  <si>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</si>
  <si>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</si>
  <si>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</si>
  <si>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</si>
  <si>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</si>
  <si>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</si>
  <si>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</si>
  <si>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</si>
  <si>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</si>
  <si>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</si>
  <si>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</si>
  <si>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</si>
  <si>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</si>
  <si>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</si>
  <si>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</si>
  <si>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</si>
  <si>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</si>
  <si>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</si>
  <si>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</si>
  <si>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</si>
  <si>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</si>
  <si>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</si>
  <si>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</si>
  <si>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</si>
  <si>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</si>
  <si>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</si>
  <si>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</si>
  <si>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</si>
  <si>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</si>
  <si>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wc 04/11/2024</t>
  </si>
  <si>
    <t>wc 11/11/2024</t>
  </si>
  <si>
    <t>\CHEMISTRY_CPOSS\Phloroglucinol\Phloroglucinoldihydrate_CO</t>
  </si>
  <si>
    <t>Phloroglucinol dihydrate</t>
  </si>
  <si>
    <t>\CHEMISTRY_CPOSS\Phloroglucinol\Phloroglucinoldihydrate_CP</t>
  </si>
  <si>
    <t>Phloroglucinol</t>
  </si>
  <si>
    <t>\CHEMISTRY_CPOSS\0-EarlySearches\home\louise_price.eminerals\phloroglucinol_dmaflex</t>
  </si>
  <si>
    <t>\CHEMISTRY_CPOSS\Phloroglucinol\Phloroglucinol_CO</t>
  </si>
  <si>
    <t>\CHEMISTRY_CPOSS\Phloroglucinol\Phloroglucinol_CO2</t>
  </si>
  <si>
    <t>\CHEMISTRY_CPOSS\Phloroglucinol\Phloroglucinol_CP</t>
  </si>
  <si>
    <t>\CHEMISTRY_CPOSS\Phloroglucinol\Phloroglucinol_PCM</t>
  </si>
  <si>
    <t>Rigid CrystalPredictor (unknown), DMACRYS (2.0.4)</t>
  </si>
  <si>
    <t>In PHGLOL_overview</t>
  </si>
  <si>
    <t>See PHGLOL Study_ID=11</t>
  </si>
  <si>
    <t>Study_ID=20, CrystOpt (2.0), DMACRYS (2.0.2)</t>
  </si>
  <si>
    <t>Study_ID=20, CrystOpt (2.0), DMACRYS (1.1.1)</t>
  </si>
  <si>
    <t>1,3,5-trihydroxybenzene</t>
  </si>
  <si>
    <t>Phloroglucinol_A1</t>
  </si>
  <si>
    <t>Phloroglucinol_A2</t>
  </si>
  <si>
    <t>Phloroglucinol_A2a</t>
  </si>
  <si>
    <t>Phloroglucinol_A3</t>
  </si>
  <si>
    <t>In /CHEMISTRY_CPOSS/DiChloroNitroBenzene/</t>
  </si>
  <si>
    <t>23-dichloronitrobenzene_A1</t>
  </si>
  <si>
    <t>23-dichloronitrobenzene_B2</t>
  </si>
  <si>
    <t>23-dichloronitrobenzene_B1</t>
  </si>
  <si>
    <t>23-dichloronitrobenzene_B3</t>
  </si>
  <si>
    <t>24-dichloronitrobenzene_A1</t>
  </si>
  <si>
    <t>24-dichloronitrobenzene_B2</t>
  </si>
  <si>
    <t>24-dichloronitrobenzene_B1</t>
  </si>
  <si>
    <t>24-dichloronitrobenzene_B3</t>
  </si>
  <si>
    <t>25-dichloronitrobenzene_A1</t>
  </si>
  <si>
    <t>25-dichloronitrobenzene_B1</t>
  </si>
  <si>
    <t>25-dichloronitrobenzene_B2</t>
  </si>
  <si>
    <t>25-dichloronitrobenzene_B3</t>
  </si>
  <si>
    <t>34-dichloronitrobenzene_A1</t>
  </si>
  <si>
    <t>34-dichloronitrobenzene_B2</t>
  </si>
  <si>
    <t>34-dichloronitrobenzene_B1</t>
  </si>
  <si>
    <t>34-dichloronitrobenzene_B3</t>
  </si>
  <si>
    <t>35-dichloronitrobenzene_A1</t>
  </si>
  <si>
    <t>35-dichloronitrobenzene_B1</t>
  </si>
  <si>
    <t>35-dichloronitrobenzene_B2</t>
  </si>
  <si>
    <t>35-dichloronitrobenzene_B3</t>
  </si>
  <si>
    <t>wc 18/11/2024</t>
  </si>
  <si>
    <t>FenamicAcid_A1</t>
  </si>
  <si>
    <t>FenamicAcid_A3</t>
  </si>
  <si>
    <t>FenamicAcid_A2</t>
  </si>
  <si>
    <t>FlufenamicAcid_A1</t>
  </si>
  <si>
    <t>FlufenamicAcid_A2</t>
  </si>
  <si>
    <t>wc 25/11/2024</t>
  </si>
  <si>
    <t>FlufenamicAcid_A3</t>
  </si>
  <si>
    <t>Not to be archived</t>
  </si>
  <si>
    <t>MefenamicAcid_A2</t>
  </si>
  <si>
    <t>MefenamicAcid_A3</t>
  </si>
  <si>
    <t>MefenamicAcid_A4</t>
  </si>
  <si>
    <t>TolfenamicAcid_A1</t>
  </si>
  <si>
    <t>TolfenamicAcid_A2</t>
  </si>
  <si>
    <t>TolfenamicAcid_B1</t>
  </si>
  <si>
    <t>TolfenamicAcid_B2</t>
  </si>
  <si>
    <t>TolfenamicAcid_B3</t>
  </si>
  <si>
    <t>TolfenamicAcid_B4</t>
  </si>
  <si>
    <t>NiflumicAcid_A2</t>
  </si>
  <si>
    <t>NiflumicAcid_A1</t>
  </si>
  <si>
    <t>KEMDOW, KEMDOW01</t>
  </si>
  <si>
    <t>MOLPAK, DMAREL (4.1.1), DMACRYS (2.3.1.1)</t>
  </si>
  <si>
    <t>KEMDOW, KEMDOW02</t>
  </si>
  <si>
    <t>Study_ID=0/1/2,</t>
  </si>
  <si>
    <t>In guanine folder</t>
  </si>
  <si>
    <t>wc 02/12/2024</t>
  </si>
  <si>
    <t>Yes, CSD version 5.45 with Mar, Jun and Sep 2024 update</t>
  </si>
  <si>
    <t>Nowell H, Price SL, Acta Cryst B, 61, 558-568 (2005)</t>
  </si>
  <si>
    <t>Guanine_A1</t>
  </si>
  <si>
    <t>Guanine_C1</t>
  </si>
  <si>
    <t>Guanine_B1</t>
  </si>
  <si>
    <t>Guanine_ABC2</t>
  </si>
  <si>
    <t>Not published - see Ridout J, Probert MR, Cryst Growth Des 2013, 13(5), 1943-1948.</t>
  </si>
  <si>
    <t>MOLPAK, DMACRYS (2.0.4)</t>
  </si>
  <si>
    <t>Study_ID=0, unoptimized, DMACRYS (2.0.4) with 1 GPa</t>
  </si>
  <si>
    <t>Study_ID=0, unoptimized, DMACRYS (2.0.4) with 2 GPa</t>
  </si>
  <si>
    <t>Study_ID=0, unoptimized, DMACRYS (2.0.4) with 3 GPa</t>
  </si>
  <si>
    <t>Study_ID=0, unoptimized, DMACRYS (2.0.4) with 4 GPa</t>
  </si>
  <si>
    <t>In /CHEMISTRY_CPOSS/JoeRidout/</t>
  </si>
  <si>
    <t>Study_ID=0, unoptimized, DMACRYS (2.0.4)</t>
  </si>
  <si>
    <t>YICFEX, YICFEX01</t>
  </si>
  <si>
    <t>YICDUL, YICDUL01</t>
  </si>
  <si>
    <t>YICDIZ, YICDIZ01</t>
  </si>
  <si>
    <t>Study_ID=0, unoptimized, DMACRYS (2.0.4) with 0.1 GPa</t>
  </si>
  <si>
    <t>YICDIZ, YICDIZ02</t>
  </si>
  <si>
    <t>YICDIZ, YICDIZ03</t>
  </si>
  <si>
    <t>YICDIZ, YICDIZ04</t>
  </si>
  <si>
    <t>YICDIZ, YICDIZ05</t>
  </si>
  <si>
    <t>wc 09/12/2024</t>
  </si>
  <si>
    <t>2-fluorotoluene_A1</t>
  </si>
  <si>
    <t>2-fluorotoluene_A2</t>
  </si>
  <si>
    <t>3-fluorotoluene_A3</t>
  </si>
  <si>
    <t>4-fluorotoluene_A4</t>
  </si>
  <si>
    <t>2-fluorotoluene_A6</t>
  </si>
  <si>
    <t>2-fluorotoluene_A3</t>
  </si>
  <si>
    <t>2-fluorotoluene_A4</t>
  </si>
  <si>
    <t>2-fluorotoluene_A5</t>
  </si>
  <si>
    <t>3-fluorotoluene_A1</t>
  </si>
  <si>
    <t>4-fluorotoluene_A1</t>
  </si>
  <si>
    <t>3-fluorotoluene_A2</t>
  </si>
  <si>
    <t>3-fluorotoluene_A4</t>
  </si>
  <si>
    <t>3-fluorotoluene_A5</t>
  </si>
  <si>
    <t>3-fluorotoluene_A6</t>
  </si>
  <si>
    <t>4-fluorotoluene_A2</t>
  </si>
  <si>
    <t>4-fluorotoluene_A3</t>
  </si>
  <si>
    <t>4-fluorotoluene_A5</t>
  </si>
  <si>
    <t>Rigid CrystalPredictor (2.0.1), DMACRYS (2.2.1.1)</t>
  </si>
  <si>
    <t>Aina AA, Misquitta, AJ, Price SL, J Chem Phys 2021, 154(9) 094123.</t>
  </si>
  <si>
    <t>See Study_ID=23</t>
  </si>
  <si>
    <t>TNBENZ11, TNBENZ12, TNBENZ13</t>
  </si>
  <si>
    <t>In Trinitrobenzene</t>
  </si>
  <si>
    <t>Trinitrobenzene_A1</t>
  </si>
  <si>
    <t>Trinitrobenzene_A2</t>
  </si>
  <si>
    <t>Trinitrobenzene_A3</t>
  </si>
  <si>
    <t>Trinitrobenzene_A4</t>
  </si>
  <si>
    <t>Trinitrobenzene_A5</t>
  </si>
  <si>
    <t>Trinitrobenzene_A6</t>
  </si>
  <si>
    <t>Trinitrobenzene_A7</t>
  </si>
  <si>
    <t>Trinitrobenzene_A9</t>
  </si>
  <si>
    <t>Trinitrobenzene_A8</t>
  </si>
  <si>
    <t>wc 13/01/2025</t>
  </si>
  <si>
    <t>1,1-diamino-2,2-dinitroethene</t>
  </si>
  <si>
    <t>(Z)-1,2-diamino-1,2-dinitroethene</t>
  </si>
  <si>
    <t>MOLPAK, DMACRYS (2.0.1)</t>
  </si>
  <si>
    <t>In FOX7 folder</t>
  </si>
  <si>
    <t>\CHEMISTRY_CPOSS\FOX7\ConOpt</t>
  </si>
  <si>
    <t>\CHEMISTRY_CPOSS\FOX7\Opt</t>
  </si>
  <si>
    <t>Yes, CSD version 5.46</t>
  </si>
  <si>
    <t>\CHEMISTRY_CPOSS\FOX7\TransSearch</t>
  </si>
  <si>
    <t>wc 20/01/2025</t>
  </si>
  <si>
    <t>HUPNIR, HUPNIR01</t>
  </si>
  <si>
    <t>Yes, CSD version 5.45 with Mar, Jun and Sep 2024 updates</t>
  </si>
  <si>
    <t>1-ethynyl-2-fluorobenzene</t>
  </si>
  <si>
    <t>MOLPAK, DMACRYS (2.0.8b4)</t>
  </si>
  <si>
    <t>AXUBUR, AXUBUR01, AXUBUR02</t>
  </si>
  <si>
    <t>Study_ID=0, DMACRYS (2.0.8b4) with 0.55 GPa</t>
  </si>
  <si>
    <t>Anisole_A1</t>
  </si>
  <si>
    <t>wc 27/01/2025</t>
  </si>
  <si>
    <t>In IBPRAC_overview</t>
  </si>
  <si>
    <t>Study_ID=60, CrystalOptimizer, DMACRYS (2.3.0)</t>
  </si>
  <si>
    <t>Francia NF, Price LS, Salvalaglio M, CrystEngComm 2021. 23, 5575-5584.</t>
  </si>
  <si>
    <t>wc 24/02/2025</t>
  </si>
  <si>
    <t>Flexible CrystalPredictor (1.6), DMAFLEXquick (1.1), CrystalOptimizer (2.1), DMACRYS (2.0.8)</t>
  </si>
  <si>
    <t>Flexible CrystalPredictor (1.6), DMAFLEXquick (1.1), CrystalOptimizer (2.1), DMACRYS (2.0.4)</t>
  </si>
  <si>
    <t>pre-2010</t>
  </si>
  <si>
    <t>In \CHEMISTRY_CPOSS\Isonicotinamide\</t>
  </si>
  <si>
    <t>Isonicotinamide_A1</t>
  </si>
  <si>
    <t>Isonicotinamide_B2</t>
  </si>
  <si>
    <t>Isonicotinamide_B3</t>
  </si>
  <si>
    <t>Isonicotinamide_B1</t>
  </si>
  <si>
    <t>Isonicotinamide_B4</t>
  </si>
  <si>
    <t>Isonicotinamide_B5</t>
  </si>
  <si>
    <t>Yes, CSD version 5.46 with Feb 2025 update</t>
  </si>
  <si>
    <t>See Study_ID=5</t>
  </si>
  <si>
    <t>Hunnisett LM, et al, Acta Cryst B, 2024, 80(6), 548-574</t>
  </si>
  <si>
    <t>Hunnisett LM, et al, Acta Cryst B, 2024, 80(6), 517-547</t>
  </si>
  <si>
    <t>Coronene_A1</t>
  </si>
  <si>
    <t>Acridine_A1</t>
  </si>
  <si>
    <t>Acridine_B1</t>
  </si>
  <si>
    <t>Acridine_B2</t>
  </si>
  <si>
    <t>Piracetam_A1</t>
  </si>
  <si>
    <t>Helen Tsui</t>
  </si>
  <si>
    <t>Tremayne M, Grice L, Pyatt JC, Seaton CC, Kariuki BM, Tsui HHY, Price SL, Cherryman JC, J Am Chem Soc, 126(22); 7071-7081 (2004)</t>
  </si>
  <si>
    <t>BAWNIW, BAWNIW06, BAWNIW02, BAWNIW07</t>
  </si>
  <si>
    <t>wc 10/03/2025</t>
  </si>
  <si>
    <t>wc 17/03/2025</t>
  </si>
  <si>
    <t>Phthalimide_A1</t>
  </si>
  <si>
    <t>In PHALIM_overview</t>
  </si>
  <si>
    <t>Fluorouracil_A1</t>
  </si>
  <si>
    <t>FURACL01, FURACL03</t>
  </si>
  <si>
    <t>Saccharin_A1</t>
  </si>
  <si>
    <t>MOLPAK, DMAREL (3.02)</t>
  </si>
  <si>
    <t>\CHEMISTRY_CPOSS\0-EarlySearches\home\louise_price.eminerals\chlorothalonil</t>
  </si>
  <si>
    <t>Chlorothalonil_A1</t>
  </si>
  <si>
    <t>GSK269984B_A1</t>
  </si>
  <si>
    <t>GSK269984B_B1</t>
  </si>
  <si>
    <t>GSK269984B_C1</t>
  </si>
  <si>
    <t>GSK269984B_C2</t>
  </si>
  <si>
    <t>GSK269984B_D1</t>
  </si>
  <si>
    <t>In BIFHOP_overview</t>
  </si>
  <si>
    <t>Flexible CrystalPredictor (1.x), CrystalOptimizer (x), DMACRYS (2.0.4)</t>
  </si>
  <si>
    <t>C20 H14 N1 O3 Cl2 F1</t>
  </si>
  <si>
    <t>XIFZOF</t>
  </si>
  <si>
    <t>Iuzzolino L, McCabe P, Price SL, Brandenburg JG, Faraday Discussions 2018, 211, 275-296.</t>
  </si>
  <si>
    <t>Flexible CrystalPredictor (1.8), DFTB, DMACRYS (2.2.0.1)</t>
  </si>
  <si>
    <t>wc 24/03/2025</t>
  </si>
  <si>
    <t>Lactide_A1</t>
  </si>
  <si>
    <t>Lactide_A2</t>
  </si>
  <si>
    <t>Lactide_A3</t>
  </si>
  <si>
    <t>Lactide_A4</t>
  </si>
  <si>
    <t>BICVIS, NAHNOZ01, TOFTIV, BEYDEO01</t>
  </si>
  <si>
    <t>Rigid Crystal Predictor (x), DMACRYS (2.0.8)</t>
  </si>
  <si>
    <t>Study_ID=20, CrystalOptimizer (2.3), DMACRYS (2.0.8)</t>
  </si>
  <si>
    <t>In BICVIS_overview</t>
  </si>
  <si>
    <t>Buchholz HK, Hylton RK, Brandenburg JG, Seidel-Morgenstern A, Lorenz H, Stein M, Price SL, Cryst Growth Des 2017, 17 (9), 4676-4686</t>
  </si>
  <si>
    <t>wc 31/03/2025</t>
  </si>
  <si>
    <t>Flexible CrystalPredictor (2.1), DMACRYS (2.0.8)</t>
  </si>
  <si>
    <t>Study_id=20, CrystalOptimizer (2.3), DMACRYS (2.0.8)</t>
  </si>
  <si>
    <t>Amoxapine_A1</t>
  </si>
  <si>
    <t>Amoxapine_B2</t>
  </si>
  <si>
    <t>Amoxapine_B1</t>
  </si>
  <si>
    <t>NDOCLH01, NDOCLH11</t>
  </si>
  <si>
    <t>NDOCLH01, NDOCLH12</t>
  </si>
  <si>
    <t>Study_ID=20, CrystalOptimizer (2.4.4), DMACRYS (2.2.1.0)</t>
  </si>
  <si>
    <t>Flexible CrystalPredictor (2.x), DMACRYS (2.2.1.0)</t>
  </si>
  <si>
    <t>Loxapine_A1</t>
  </si>
  <si>
    <t>Loxapine_B2</t>
  </si>
  <si>
    <t>Loxapine_B1</t>
  </si>
  <si>
    <t>MENSEE</t>
  </si>
  <si>
    <t>Shihao Ying</t>
  </si>
  <si>
    <t>MENSEE01, MENSEE04</t>
  </si>
  <si>
    <t>N-(3-hydroxyphenyl)acetamide</t>
  </si>
  <si>
    <t>Metacetamol</t>
  </si>
  <si>
    <t>August 2025</t>
  </si>
  <si>
    <t>In MENSEE_overview</t>
  </si>
  <si>
    <t>Metacetamol_A1</t>
  </si>
  <si>
    <t>Metacetamol_A2</t>
  </si>
  <si>
    <t>wc 24/11/2025</t>
  </si>
  <si>
    <t>In NDOCLH_overview</t>
  </si>
  <si>
    <t>Flexible CrystalPredictor (2.?), DMACRYS 2.3.1.1</t>
  </si>
  <si>
    <t>Yes, CSD version 6.01</t>
  </si>
  <si>
    <t>In NDNHCL_overview</t>
  </si>
  <si>
    <t>Clozapine_A1</t>
  </si>
  <si>
    <t>Clozapine_B2</t>
  </si>
  <si>
    <t>Clozapine_B1</t>
  </si>
  <si>
    <t>wc 01/12/2025</t>
  </si>
  <si>
    <t>wc 08/12/2025</t>
  </si>
  <si>
    <t>Oxcarbazepine_A1</t>
  </si>
  <si>
    <t>Oxcarbazepine_A2</t>
  </si>
  <si>
    <t>08/12/2025</t>
  </si>
  <si>
    <t>15/12/2025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</si>
  <si>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</si>
  <si>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</si>
  <si>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</si>
  <si>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</si>
  <si>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</si>
  <si>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</si>
  <si>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</si>
  <si>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</si>
  <si>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</si>
  <si>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Cytenamide_B1</t>
  </si>
  <si>
    <t>Cytenamide_A1</t>
  </si>
  <si>
    <t>Cytenamide_A2</t>
  </si>
  <si>
    <t>Dihydrocarbamazepine_B1</t>
  </si>
  <si>
    <t>Dihydrocarbamazepine_A1</t>
  </si>
  <si>
    <t>Dihydrocarbamazepine_A2</t>
  </si>
  <si>
    <t>SOGLEG, SODNOP</t>
  </si>
  <si>
    <t>GEHXEX01, GEHXEX04, GEHXEX02</t>
  </si>
  <si>
    <t>In GEHXEX_overview</t>
  </si>
  <si>
    <t>Srirambhatla VK, Guo R, Dawson DM, Price SL, Florence AJ, Cryst Growth Des 2020, 20(3), 1800</t>
  </si>
  <si>
    <t>CrystalPredictor (2.1.01), CrystalOptimizer (2.4), DMACRYS (2.2.0.1)</t>
  </si>
  <si>
    <t>Desloratadine_A1</t>
  </si>
  <si>
    <t>Desloratadine_A2</t>
  </si>
  <si>
    <t>Dimethylurea_A2</t>
  </si>
  <si>
    <t>Dimethylurea_A1</t>
  </si>
  <si>
    <t>ZZZRTI07</t>
  </si>
  <si>
    <t>M-Xylene_A</t>
  </si>
  <si>
    <t>P-Xylene_A</t>
  </si>
  <si>
    <t>O-Xylene_A</t>
  </si>
  <si>
    <t>DORDUM</t>
  </si>
  <si>
    <t>Galunisertib, TGF-beta antagonist</t>
  </si>
  <si>
    <t>DORDUM09, DORDUM, DORDUM01, DORDUM02, DORDUM03, DORDUM04, DORDUM10, DORDUM05, DORDUM06, DORDUM07</t>
  </si>
  <si>
    <t>Flexible CrystalPredictor (1.6), Dmaflex-Quick, DMACRYS (2.0.8RC1)</t>
  </si>
  <si>
    <t>Study_ID=10, CrystalOptimizer (2.3), DMACRYS (2.0.8RC1)</t>
  </si>
  <si>
    <t>In DORDUM_overview</t>
  </si>
  <si>
    <t xml:space="preserve">Bhardwaj RM; McMahon JA; Nyman J; Price LS; Konar S; Oswald IDH; Pulham CR; Price SL; Reutzel-Edens SM, J. Am. Chem. Soc. 2019, 141, (35), 13887-13897. </t>
  </si>
  <si>
    <t>Galunisertib_A1</t>
  </si>
  <si>
    <t>Galunisertib_A2</t>
  </si>
  <si>
    <t>Galunisertib_A3</t>
  </si>
  <si>
    <t>Galunisertib_A4</t>
  </si>
  <si>
    <t>wc 15/12/2025</t>
  </si>
  <si>
    <t>Flexible CrystalPredictor (1.8), CrystalOptimizer single iteration (2.4.m), DMACRYS (2.2.0.1)</t>
  </si>
  <si>
    <t>Study_ID=11, CrystalOptimizer (2.4.m), DMACRYS (2.2.0.1)</t>
  </si>
  <si>
    <t>Study_ID=10, CrystalOptimizer (2.4.m), DMACRYS (2.2.0.1)</t>
  </si>
  <si>
    <t>Rigid CrystalPredictor, DFTB3-D3, DMACRYS (2.2.0.1)</t>
  </si>
  <si>
    <t>In /CHEMISTRY_CPOSS/Mebendazole</t>
  </si>
  <si>
    <t>AMebendazole_A2</t>
  </si>
  <si>
    <t>AMebendazole_A1</t>
  </si>
  <si>
    <t>AMebendazole_A4</t>
  </si>
  <si>
    <t>AMebendazole_A3</t>
  </si>
  <si>
    <t>AMebendazole_B1</t>
  </si>
  <si>
    <t>CMebendazole_B1</t>
  </si>
  <si>
    <t>CMebendazole_A2</t>
  </si>
  <si>
    <t>CMebendazole_A1</t>
  </si>
  <si>
    <t>CMebendazole_A4</t>
  </si>
  <si>
    <t>CMebendazole_A3</t>
  </si>
  <si>
    <t>Yes, CSD version 5.41</t>
  </si>
  <si>
    <t>In ACSALA_overview</t>
  </si>
  <si>
    <t>Aspirin_A1</t>
  </si>
  <si>
    <t>CLBZAM12, CLBZAM11, CLBZAM13</t>
  </si>
  <si>
    <t>MOLPAK, DMACRYS (1.1.1)</t>
  </si>
  <si>
    <t>\CHEMISTRY_CPOSS\0-EarlySearches\home\louise_price.eminerals\2-fluorobenzamide\opt</t>
  </si>
  <si>
    <t>2chlorobenzamide_B1</t>
  </si>
  <si>
    <t>2chlorobenzamide_A1</t>
  </si>
  <si>
    <t>2chlorobenzamide_C1</t>
  </si>
  <si>
    <t>BIGSUF01</t>
  </si>
  <si>
    <t>2fluorobenzamide_A1</t>
  </si>
  <si>
    <t>2fluorobenzamide_B1</t>
  </si>
  <si>
    <t>2bromobenzamide_A1</t>
  </si>
  <si>
    <t>In JIXCIC_overview</t>
  </si>
  <si>
    <t>In \CHEMISTRY_CPOSS\0-EarlySearches\home\louise_price.eminerals\2-aminobenzamide\JIXCIC_overview</t>
  </si>
  <si>
    <t>AMBZAM11</t>
  </si>
  <si>
    <t>wc 12/01/2026</t>
  </si>
  <si>
    <t>2aminobenzamide_A1</t>
  </si>
  <si>
    <t>3aminobenzamide_A1</t>
  </si>
  <si>
    <t>4aminobenzamide_A1</t>
  </si>
  <si>
    <t>Flexible CrystalPredictor (1.9 with torsion groups), DMACRYS (2.2.1.1)</t>
  </si>
  <si>
    <t>Study_ID=20, CrystalOptimizer (2.4.7), DMACRYS (2.2.1.0)</t>
  </si>
  <si>
    <t>Study_ID=20, DFTB3D3, DMACRYS (2.3.0)</t>
  </si>
  <si>
    <t>Ibuprofen_A1</t>
  </si>
  <si>
    <t>Ibuprofen_A2</t>
  </si>
  <si>
    <t>Ibuprofen_A4</t>
  </si>
  <si>
    <t>Ibuprofen_A3</t>
  </si>
  <si>
    <t>Copied from old analysis</t>
  </si>
  <si>
    <t>Louise Price in CPOSS209 paper</t>
  </si>
  <si>
    <t>IBPRAC01, IBPRAC04, JEKNOC12</t>
  </si>
  <si>
    <t>Chalcone_A1</t>
  </si>
  <si>
    <t>Flexible CrystalPredictor (2.2), DMACRYS (2.3.0)</t>
  </si>
  <si>
    <t>Study_ID=20, CrystalOptimizer (2.4.7.1), DMACRYS (2.3.0)</t>
  </si>
  <si>
    <t>EFEMUX01</t>
  </si>
  <si>
    <t>In EFEMUX_overview</t>
  </si>
  <si>
    <t>Lamotrigine_A1</t>
  </si>
  <si>
    <t>Lamotrigine_A2</t>
  </si>
  <si>
    <t>In CHEMISTRY_CPOSS\0-EarlySearches\home\louise_price.eminerals\uracil\URACIL_overview</t>
  </si>
  <si>
    <t>In URACIL_overview</t>
  </si>
  <si>
    <t>CLURAC11</t>
  </si>
  <si>
    <t>DOHFEM01</t>
  </si>
  <si>
    <t>THYMIN01, THYMIN03</t>
  </si>
  <si>
    <t>Barnett SA, Hulme AT, Issa N, Lewis TC, Price LS, Tocher DA, Price SL 2008. New J Chem 32 1761-1775.</t>
  </si>
  <si>
    <t>Copley RCB, Barnett SA, Karamertzanis PG, Harris KDM, Kariuki BM, Xu MC, Nickels EA, Lancaster RW, Price SL 2008. Cryst Growth Des 8 3474-3481.</t>
  </si>
  <si>
    <t>5ethyluracil_A1</t>
  </si>
  <si>
    <t>5cyanouracil_A1</t>
  </si>
  <si>
    <t>5chlorouracil_A1</t>
  </si>
  <si>
    <t>5eniluracil_A1</t>
  </si>
  <si>
    <t>5eniluracil_B1</t>
  </si>
  <si>
    <t>5nitrouracil_A1</t>
  </si>
  <si>
    <t>5nitrouracil_B1</t>
  </si>
  <si>
    <t>IsobarbituricAcid_A1</t>
  </si>
  <si>
    <t>IsobarbituricAcid_B1</t>
  </si>
  <si>
    <t>5aminouracil_A1</t>
  </si>
  <si>
    <t>5vinyluracil_A1</t>
  </si>
  <si>
    <t>Uracil_A1</t>
  </si>
  <si>
    <t>SIKLIH04, SIKLIH09, SIKLIH10</t>
  </si>
  <si>
    <t>In SIKLIH_overview</t>
  </si>
  <si>
    <t>Diclofenac_A1</t>
  </si>
  <si>
    <t>Diclofenac_A2</t>
  </si>
  <si>
    <t>Diclofenac_A4</t>
  </si>
  <si>
    <t>Diclofenac_A3</t>
  </si>
  <si>
    <t>CrystalOptimizer (2.4.5), DMACRYS (2.2.1.0)</t>
  </si>
  <si>
    <t>DMACRYS (2.2.1.0)</t>
  </si>
  <si>
    <t>XAFPAY, XAFPAY01, XAFPAY02, XAFPAY03, XAFPAY04</t>
  </si>
  <si>
    <t>CrystalPredictor (1.8), DFTB3-D3 (1.0.1), DMACRYS (2.2.0.1)</t>
  </si>
  <si>
    <t>Study_ID=20, CrystalOptimizer (2.4.m), DMACRYS (2.2.0.1)</t>
  </si>
  <si>
    <t>CrystalPredictor (2.1.01), DMACRYS (2.2.0.1)</t>
  </si>
  <si>
    <t>BXXIII_B1</t>
  </si>
  <si>
    <t>BXXIII_A2</t>
  </si>
  <si>
    <t>BXXIII_A3</t>
  </si>
  <si>
    <t>BXXIII_A4</t>
  </si>
  <si>
    <t>BXXIII_A5</t>
  </si>
  <si>
    <t>BXXIII_A6</t>
  </si>
  <si>
    <t>BXXIII_A7</t>
  </si>
  <si>
    <t>BXXIII_A8</t>
  </si>
  <si>
    <t>wc 19/01/2026</t>
  </si>
  <si>
    <t>BXXIII_A1; Only 20 kJ/mol to Github; the rest available on request</t>
  </si>
  <si>
    <t>In XAFPAY_overview</t>
  </si>
  <si>
    <t>ZZZVYE01</t>
  </si>
  <si>
    <t>In ZZZVYE_overview</t>
  </si>
  <si>
    <t>Cyclopentane_A1</t>
  </si>
  <si>
    <t>Cyclopentane_B1</t>
  </si>
  <si>
    <t>In URICAC_overview</t>
  </si>
  <si>
    <t>UricAcid_A1</t>
  </si>
  <si>
    <t>UricAcid_B1</t>
  </si>
  <si>
    <t>In COYRUD_overview</t>
  </si>
  <si>
    <t>Naproxen_B1</t>
  </si>
  <si>
    <t>Naproxen_B2</t>
  </si>
  <si>
    <t>Naproxen_B3</t>
  </si>
  <si>
    <t>Naproxen_A2</t>
  </si>
  <si>
    <t>Naproxen_A1</t>
  </si>
  <si>
    <t>wc 26/01/2026</t>
  </si>
  <si>
    <t>FASMEV</t>
  </si>
  <si>
    <t>ZEHFUR</t>
  </si>
  <si>
    <t>In SLFNMA_overview</t>
  </si>
  <si>
    <t>In SULDAZ_overview</t>
  </si>
  <si>
    <t>In preparation</t>
  </si>
  <si>
    <t>Yes, CSD version 6.01 and manual search of SLFNMA07</t>
  </si>
  <si>
    <t>SLFNMA02, SLFNMA01, SLFNMA03, SLFNMA06, SLFNMA07</t>
  </si>
  <si>
    <t>March 2023</t>
  </si>
  <si>
    <t>Sulfadiazine_A1</t>
  </si>
  <si>
    <t>Sulfadiazine_A2</t>
  </si>
  <si>
    <t>Sulfamerazine_A2</t>
  </si>
  <si>
    <t>Sulfamerazine_A1</t>
  </si>
  <si>
    <t>In FASMEV_overview</t>
  </si>
  <si>
    <t>In ZEHFUR_overview</t>
  </si>
  <si>
    <t>BTXXIX_A1</t>
  </si>
  <si>
    <t>BTXXXI_A1</t>
  </si>
  <si>
    <t>BTXXXI_B1</t>
  </si>
  <si>
    <t>BTXXXI_B2</t>
  </si>
  <si>
    <t>BTXXXI_B3</t>
  </si>
  <si>
    <t>MPYRAZ02</t>
  </si>
  <si>
    <t>CANNOL01</t>
  </si>
  <si>
    <t>MIVZIE</t>
  </si>
  <si>
    <t>MIVZEA</t>
  </si>
  <si>
    <t>In BlindTest2020-2022/XXX</t>
  </si>
  <si>
    <t>Day GM, 2009. Acta Crystallogr, Sect B 65, 107-125; Misquitta AJ, Welch GWA, Stone AJ, Price SL 2008. Chem Phys Lett 456, 105-109.</t>
  </si>
  <si>
    <t>In SOXLEX_overview</t>
  </si>
  <si>
    <t>In XAFQAZ_overwiew</t>
  </si>
  <si>
    <t>Study_ID=20, CrystalOptimizer, DMACRYS (2.0.8RC1)</t>
  </si>
  <si>
    <t>XAFQAZ01</t>
  </si>
  <si>
    <t>Rigid CrystalPredictor, DMACRYS (2.0.8)</t>
  </si>
  <si>
    <t>Reilly, AM et al, Acta Cryst. B, (2016) 72, 439-459 (List 1)</t>
  </si>
  <si>
    <t>Reilly, AM et al, Acta Cryst. B, (2016) 72, 439-459 (List 2)</t>
  </si>
  <si>
    <t>ZEGWAN</t>
  </si>
  <si>
    <t>ZEGWAN, ZEGWAN01</t>
  </si>
  <si>
    <t>In BlindTest2020-2022/XXXIII</t>
  </si>
  <si>
    <t>June 2022</t>
  </si>
  <si>
    <t>CCDC supplied structures, CrystalOptimizer (2.4.8), DMACRYS (2.3.1.1)</t>
  </si>
  <si>
    <t>XXXIII_A1</t>
  </si>
  <si>
    <t>BTXIII_A1</t>
  </si>
  <si>
    <t>BTXXVC_A2</t>
  </si>
  <si>
    <t>BTXXVC_A1</t>
  </si>
  <si>
    <t>BTXXVC_A3</t>
  </si>
  <si>
    <t>In XAFQIH_overview</t>
  </si>
  <si>
    <t>Study_ID=20, Single step CrystalOptimizer, DMACRYS (2.2.0.1)</t>
  </si>
  <si>
    <t>Study_ID=11, CrystalOptimizer, DMACRYS (2.2.0.1)</t>
  </si>
  <si>
    <t>Study_ID=10, CrystalOptimizer, DMACRYS (2.2.0.1)</t>
  </si>
  <si>
    <t>BTXXVI_C1</t>
  </si>
  <si>
    <t>BTXXVI_A1</t>
  </si>
  <si>
    <t>BTXXVI_B1</t>
  </si>
  <si>
    <t>BTXXVI_B2</t>
  </si>
  <si>
    <t>BTXXVI_B3</t>
  </si>
  <si>
    <t>BTXXVI_B4</t>
  </si>
  <si>
    <t>Flexible CrystalPredictor (1.8), CrystalOptimizer, DMACRYS (2.0.8)</t>
  </si>
  <si>
    <t>Study_ID=11, CrystalOptimizer, DMACRYS (2.0.8)</t>
  </si>
  <si>
    <t>In XAFQON_overview</t>
  </si>
  <si>
    <t>BTXXIV_A1</t>
  </si>
  <si>
    <t>BTXXIV_A2</t>
  </si>
  <si>
    <t>BTXXIV_A3</t>
  </si>
  <si>
    <t>BTXXIV_A4</t>
  </si>
  <si>
    <t>BTXXIV_A5</t>
  </si>
  <si>
    <t>BTXXIV_A6</t>
  </si>
  <si>
    <t>BTXXIV_A7</t>
  </si>
  <si>
    <t>Study_ID=11, DMACRYS (2.0.8)</t>
  </si>
  <si>
    <t>Study_ID=12, DMACRYS (2.0.8)</t>
  </si>
  <si>
    <t>XXXIII_B1</t>
  </si>
  <si>
    <t>See Study_ID=33</t>
  </si>
  <si>
    <t>Tetramethylpyrazine_A2</t>
  </si>
  <si>
    <t>Tetramethylpyrazine_A1</t>
  </si>
  <si>
    <t>Cannabinol_A1</t>
  </si>
  <si>
    <t>CannabinolTetramethylpyrazine_A1</t>
  </si>
  <si>
    <t>Cannabinol2Tetramethylpyrazine_A1</t>
  </si>
  <si>
    <t>2CannabinolTetramethylpyrazine_A1</t>
  </si>
  <si>
    <t>C8 H12 N2</t>
  </si>
  <si>
    <t>C21 H26 O2</t>
  </si>
  <si>
    <t>OJIGOG01</t>
  </si>
  <si>
    <t>OJIGOG</t>
  </si>
  <si>
    <t>See Study_IDs 10 and 12</t>
  </si>
  <si>
    <t>In OJIGOG_overview</t>
  </si>
  <si>
    <t>BTXXVIII_A2</t>
  </si>
  <si>
    <t>BTXXVIII_B1</t>
  </si>
  <si>
    <t>BTXXVIII_B2</t>
  </si>
  <si>
    <t>BTXXVIII_A1</t>
  </si>
  <si>
    <t>CHEMISTRY_CPOSS\BlindTest2020-2022\XXXII\DFTB\</t>
  </si>
  <si>
    <t>Study_ID=20, DFTB, DMACRYS (2.3.1.1)</t>
  </si>
  <si>
    <t>See Study_IDs 10 and 60</t>
  </si>
  <si>
    <t>In JEKVII_overview</t>
  </si>
  <si>
    <t>JEKVII, JEKVII01</t>
  </si>
  <si>
    <t>JEKVII</t>
  </si>
  <si>
    <t>BTXXXII_B2</t>
  </si>
  <si>
    <t>BTXXXII_A1</t>
  </si>
  <si>
    <t>BTXXXII_A2</t>
  </si>
  <si>
    <t>BTXXXII_B1</t>
  </si>
  <si>
    <t>C29 H32 N8 O4 F2 S1</t>
  </si>
  <si>
    <t>CrystalPredictor (?), CrystalOptimizer (?), DMACRYS (2.2.1.1)</t>
  </si>
  <si>
    <t>It was run with only one conformation and without reduced carbon repulsion, so was probably deemed incorrect</t>
  </si>
  <si>
    <t>wc 23/02/2026</t>
  </si>
  <si>
    <t>(2R,3R,4S,5S,6R)-6-(hydroxymethyl)oxane-2,3,4,5-tetrol</t>
  </si>
  <si>
    <t>In GLUCSE_overview</t>
  </si>
  <si>
    <t>Glucose_A1</t>
  </si>
  <si>
    <t>7fluoroisatin_A1</t>
  </si>
  <si>
    <t>5fluoroisatin_A1</t>
  </si>
  <si>
    <t>In NIZVAU_overview</t>
  </si>
  <si>
    <t>In WOCGOK_overview</t>
  </si>
  <si>
    <t>NIZVAU, NIZVAU01, NIZVAU02</t>
  </si>
  <si>
    <t>WOCGOK01, WOCGOK02</t>
  </si>
  <si>
    <t>KOBFUD, KOBFUD01</t>
  </si>
  <si>
    <t>Molpak, DMAREL (3.0)</t>
  </si>
  <si>
    <t>In KOBFUD_overview</t>
  </si>
  <si>
    <t>Vitamin B6; 6-aminopurine</t>
  </si>
  <si>
    <t>CrystalPredictor, DMACRYS (2.0.8RC1)</t>
  </si>
  <si>
    <t>Adenine_A1</t>
  </si>
  <si>
    <t>Adenine_B1</t>
  </si>
  <si>
    <t>\CHEMISTRY_CPOSS\alditols\ConOptSearches_FIT\mannitol</t>
  </si>
  <si>
    <t>MOLPAK, DMACRYS (2.2.0.1)</t>
  </si>
  <si>
    <t>09/03/2026</t>
  </si>
  <si>
    <t>23/03/2026</t>
  </si>
  <si>
    <t>16/03/2026</t>
  </si>
  <si>
    <t>30/03/2026</t>
  </si>
  <si>
    <t>In alditols</t>
  </si>
  <si>
    <t>Mannitol_A1</t>
  </si>
  <si>
    <t>Sorbitol_A1</t>
  </si>
  <si>
    <t>(2S,3R,4R,5R)-hexan-1,2,3,4,5,6-hexol</t>
  </si>
  <si>
    <t>Rigid CrystalPredictor, DMACRYS (2.0.2)</t>
  </si>
  <si>
    <t>4cyanopyridine4fluorobenzoicacid_A1</t>
  </si>
  <si>
    <t>4cyanopyridinium4fluorobenzoate_A1</t>
  </si>
  <si>
    <t>Rigid CrystalPredictor, DMACRYS (2.0.0)</t>
  </si>
  <si>
    <t>4dimethylaminopyridinemaleicacid_A1</t>
  </si>
  <si>
    <t>4dimethylaminopyridiniummaleate_A1</t>
  </si>
  <si>
    <t>Blind Test molecule IX</t>
  </si>
  <si>
    <t>Rigid CrystalPredictor, CrystalOptimizer, DMACRYS (2.0.4)</t>
  </si>
  <si>
    <t>BTXVII_A1</t>
  </si>
  <si>
    <t>BTXVII_B1</t>
  </si>
  <si>
    <t>4,5-Chloro-1,2-dinitrobenzene</t>
  </si>
  <si>
    <t>Rigid CrystalPredictor, DMACRYS (2.0.4)</t>
  </si>
  <si>
    <t>In XATJOT_overview</t>
  </si>
  <si>
    <t>BTXIX_A1</t>
  </si>
  <si>
    <t>BTXIX_A2</t>
  </si>
  <si>
    <t>Study_ID=20, CrystalOptimizer. DMACRYS (2.0.4)</t>
  </si>
  <si>
    <t>In OBEQOD_overview</t>
  </si>
  <si>
    <t>wc 02/03/2026</t>
  </si>
  <si>
    <t>pyridineisophthalicacid_A1</t>
  </si>
  <si>
    <t>pyridiniumisophthalate_A1</t>
  </si>
  <si>
    <t>Gallic Acid Monohydrate; Blind Test XXI</t>
  </si>
  <si>
    <t>Blind Test 20</t>
  </si>
  <si>
    <t>Blind Test XII</t>
  </si>
  <si>
    <t>Azetidine; Blind Test XI</t>
  </si>
  <si>
    <t>Day GM, 2009. Acta Crystallogr , Sect B 65, 107-125.</t>
  </si>
  <si>
    <t>Bardwell DA, et al. 2011. Acta Crystallogr , Sect B 67, 535-551.</t>
  </si>
  <si>
    <t>Bardwell DA, et al. 2011. Acta Crystallogr , Sect B 67, 535-551.; Kazantsev AV, Karamertzanis PG, Adjiman CS, Pantelides CC, Price SL, Galek PTA, Day GM, Cruz-Cabeza AJ 2011. Int J Pharm 418, 168-178.</t>
  </si>
  <si>
    <t>Study_ID=21, CrystalOptimizer, DMACRYS (2.0.2)</t>
  </si>
  <si>
    <t>KONTIQ, KONTIQ10, KONTIQ11, KONTIQ09, KONTIQ06</t>
  </si>
  <si>
    <t>\CHEMISTRY_CPOSS\0-EarlySearches\home\louise_price.eminerals\OBEQET\CONDOR_FIT13</t>
  </si>
  <si>
    <t>\CHEMISTRY_CPOSS\0-EarlySearches\home\louise_price.eminerals\OBEQET\CONDOR_WILL_SS</t>
  </si>
  <si>
    <t>In KONTIQ_overview</t>
  </si>
  <si>
    <t>\CHEMISTRY_CPOSS\0-EarlySearches\home\louise_price.eminerals\BlindTestXV\btxvcc_dmaflex</t>
  </si>
  <si>
    <t>Flexible CrystalPredictor (1), Dmaflex, DMAREL (4.1.1)</t>
  </si>
  <si>
    <t>\CHEMISTRY_CPOSS\0-EarlySearches\home\louise_price.eminerals\BlindTestXV\btxvcc_molpak</t>
  </si>
  <si>
    <t>Searches discarded.  Just not compatible and were just a test</t>
  </si>
  <si>
    <t>wc 09/03/2026</t>
  </si>
  <si>
    <t>BTXV_A1</t>
  </si>
  <si>
    <t>BTXV_B1</t>
  </si>
  <si>
    <t>Study_ID=0, DMACRYS (2.0.1)</t>
  </si>
  <si>
    <t>Study_ID=0, DMACRYS (2.0.2)</t>
  </si>
  <si>
    <t>Flexible CrystalPredictor, dmaflex-Quick, DMACRYS (2.0.2)</t>
  </si>
  <si>
    <t>In OBEQET_overview</t>
  </si>
  <si>
    <t>BTXVIII_A1</t>
  </si>
  <si>
    <t>BTXVIII_A2</t>
  </si>
  <si>
    <t>BTXVIII_A3</t>
  </si>
  <si>
    <t>BTXVIII_B2</t>
  </si>
  <si>
    <t>BTXVIII_B1</t>
  </si>
  <si>
    <t>wc 16/03/2026</t>
  </si>
  <si>
    <t>CrystalPredictor, CrystalOptimizer (limited iterations), DMACRYS (2.0.2)</t>
  </si>
  <si>
    <t>Study_ID=10, CrystalOptimizer (full convergrence), DMACRYS (2.0.2)</t>
  </si>
  <si>
    <t>In OBEQIX_overview</t>
  </si>
  <si>
    <t>BTXX_A1</t>
  </si>
  <si>
    <t>BTXX_A2</t>
  </si>
  <si>
    <t>BTXX_B1</t>
  </si>
  <si>
    <t>Distinct searches, but not stored anywhere</t>
  </si>
  <si>
    <t>Study_ID=20, DMACRYS (2.0.4)</t>
  </si>
  <si>
    <t>In OBEQUJ_overview</t>
  </si>
  <si>
    <t>MOLPAK, DMAREL (4.3.6)</t>
  </si>
  <si>
    <t>In AXOSOW_overview</t>
  </si>
  <si>
    <t>See Study_id=0</t>
  </si>
  <si>
    <t>BTXII_A1</t>
  </si>
  <si>
    <t>BTXII_A2</t>
  </si>
  <si>
    <t>Gareth Welch</t>
  </si>
  <si>
    <t>In WIDBAO_overview</t>
  </si>
  <si>
    <t>Study_ID=0, Dmaflex, DMAREL (3.11)</t>
  </si>
  <si>
    <t>BTXIV_A1</t>
  </si>
  <si>
    <t>BTXIV_A2</t>
  </si>
  <si>
    <t>In PAHYON_overview</t>
  </si>
  <si>
    <t>Day GM et al, Acta Cryst. B 2005, 61 (5), 511-527</t>
  </si>
  <si>
    <t>PAHYON01</t>
  </si>
  <si>
    <t>Blind Test 8</t>
  </si>
  <si>
    <t>BTXVI_A3</t>
  </si>
  <si>
    <t>BTXVI_A4</t>
  </si>
  <si>
    <t>BTXVI_A1</t>
  </si>
  <si>
    <t>BTXVI_A2</t>
  </si>
  <si>
    <t>See WICZUF Study_ID=10</t>
  </si>
  <si>
    <t>Mercury, DMAREL (4.1.1)</t>
  </si>
  <si>
    <t>No publication planned (component of Blind Test XV)</t>
  </si>
  <si>
    <t>AminoPyrimidine_A1</t>
  </si>
  <si>
    <t>OtolicAcid_B1</t>
  </si>
  <si>
    <t>OtolicAcid_A1</t>
  </si>
  <si>
    <t>CrystalPredictor, dmaflex, DMAREL (4.3.6)</t>
  </si>
  <si>
    <t>MOLPAK, DMAREL (3.11)</t>
  </si>
  <si>
    <t>In XATMIP_overview</t>
  </si>
  <si>
    <t>In XATMOV_overview</t>
  </si>
  <si>
    <t>Azetidine_A1</t>
  </si>
  <si>
    <t>Diiodoanthanthrone_A1</t>
  </si>
  <si>
    <t>1,3,7-trimethylpurine-2,6-dione</t>
  </si>
  <si>
    <t>CrystalPredictor, CrystalOptimizer, DMACRYS (2.3.0)</t>
  </si>
  <si>
    <t>QUPSUS</t>
  </si>
  <si>
    <r>
      <t xml:space="preserve">Berzins A, Kons A, Sarsuns K, Belyakov S, Actins A, </t>
    </r>
    <r>
      <rPr>
        <i/>
        <sz val="11"/>
        <rFont val="Calibri"/>
        <family val="2"/>
      </rPr>
      <t xml:space="preserve">Crystal Growth &amp; Design </t>
    </r>
    <r>
      <rPr>
        <b/>
        <sz val="11"/>
        <rFont val="Calibri"/>
        <family val="2"/>
      </rPr>
      <t>2020</t>
    </r>
    <r>
      <rPr>
        <sz val="11"/>
        <rFont val="Calibri"/>
        <family val="2"/>
      </rPr>
      <t xml:space="preserve">, </t>
    </r>
    <r>
      <rPr>
        <i/>
        <sz val="11"/>
        <rFont val="Calibri"/>
        <family val="2"/>
      </rPr>
      <t>20</t>
    </r>
    <r>
      <rPr>
        <sz val="11"/>
        <rFont val="Calibri"/>
        <family val="2"/>
      </rPr>
      <t xml:space="preserve"> (9), 5767-5784</t>
    </r>
  </si>
  <si>
    <t>QUPROL, QUPROL01</t>
  </si>
  <si>
    <t>Trimdale-Deksne A, Kons A, Orola, L, Mishnev A, Stepanovs D, Mazur L, Skiba M, Dudek MK, Fantozzi N, Virieux D, et al.  Crystal Growth &amp; Design 2023, 23 (2), 930-945</t>
  </si>
  <si>
    <t>C7 H4 N1 O4 Cl1</t>
  </si>
  <si>
    <t>C8 H6 N4 O5</t>
  </si>
  <si>
    <t>C7 H5 N1 O5</t>
  </si>
  <si>
    <t>In \CHEMISTRY_CPOSS\Agris\</t>
  </si>
  <si>
    <t>4C2NBA_A1</t>
  </si>
  <si>
    <t>2C5NBAMH_A1</t>
  </si>
  <si>
    <t>2C5NBA_A1</t>
  </si>
  <si>
    <t>5C2NBA_A1</t>
  </si>
  <si>
    <t>5-chloro-2-nitrobenzoic acid</t>
  </si>
  <si>
    <t>4C2NBAMH_A1</t>
  </si>
  <si>
    <t>2M4NBAMH_A1</t>
  </si>
  <si>
    <t>2C4NBAMH_A1</t>
  </si>
  <si>
    <t>2C4NBA_A1</t>
  </si>
  <si>
    <t>2M4NBA_A1</t>
  </si>
  <si>
    <t>2H4NBAMH_A1</t>
  </si>
  <si>
    <t>2H4NBA_A1</t>
  </si>
  <si>
    <t>wc 23/03/2026</t>
  </si>
  <si>
    <t>In LABJON_overview</t>
  </si>
  <si>
    <t>LABJON06, LABJON07</t>
  </si>
  <si>
    <t>Nitrofurantoin_A1</t>
  </si>
  <si>
    <t>It will be in here, but we are renaming everything</t>
  </si>
  <si>
    <t>Flexible CrystalPredictor (1), DMAflex-Quick, DMACRYS (2.0.4)</t>
  </si>
  <si>
    <t>Study_ID=10, CrystalOptimizer, DMACRYS (2.0.4)</t>
  </si>
  <si>
    <t>Braun DE, McMahon JA, Koztecki LH, Price SL, Reutzel-Edens SM, Crystal Growth &amp; Design 2014, 14 (4), 2056-2072</t>
  </si>
  <si>
    <t>FOCWUR, FOCWUR01</t>
  </si>
  <si>
    <t>\CHEMISTRY_CPOSS\0-EarlySearches\home\louise_price.eminerals\salts_conopt</t>
  </si>
  <si>
    <t>Eli-Lilly III HCl, LY2806920, 5HT2a Antagonist</t>
  </si>
  <si>
    <t>Braun DE, Lingireddy SR, Beidelschies MD, Guo R, Muller P, Price SL, Reutzel-Edens SM, Crystal Growth &amp; Design 2017, 17 (10), 5349-5365</t>
  </si>
  <si>
    <t>HEBZAS, HEBZAS01</t>
  </si>
  <si>
    <t>Flexible CrystalPredictor (1), DMAflex-Quick, CrystalOptimizer, DMACRYS (2.0.8RC1)</t>
  </si>
  <si>
    <t>See FOCWOL Study_ID=30</t>
  </si>
  <si>
    <t>LY2624803_A3</t>
  </si>
  <si>
    <t>LY2624803_A2</t>
  </si>
  <si>
    <t>LY2624803_A1</t>
  </si>
  <si>
    <t>LY2806920_A1</t>
  </si>
  <si>
    <t>LY2806920_A2</t>
  </si>
  <si>
    <t>LY2806920_A3</t>
  </si>
  <si>
    <t>LY2806920HCl_A1</t>
  </si>
  <si>
    <t>06/04/2026</t>
  </si>
  <si>
    <t>13/04/2026</t>
  </si>
  <si>
    <t>20/04/2026</t>
  </si>
  <si>
    <t>Emiliana D'Oria, Panos Karamertzanis</t>
  </si>
  <si>
    <t>Study_ID=20, DMACRYS (2.0.8)</t>
  </si>
  <si>
    <t>Study_ID=20, CrystalOptimizer, DMACRYS (2.0.8)</t>
  </si>
  <si>
    <t>In NACJAF_overview</t>
  </si>
  <si>
    <t>Reilly, A. M. et al, Acta Crystallogr B, 2016, Volume B72, pages 439-459 (List 2)</t>
  </si>
  <si>
    <t>Reilly, A. M. et al, Acta Crystallogr B, 2016, Volume B72, pages 439-459 (List 1)</t>
  </si>
  <si>
    <t>BTXXII_A1</t>
  </si>
  <si>
    <t>BTXXII_A2</t>
  </si>
  <si>
    <t>BTXXII_A3</t>
  </si>
  <si>
    <t>BTXXII_A4</t>
  </si>
  <si>
    <t>BTXXII_A5</t>
  </si>
  <si>
    <t>BTXXII_A6</t>
  </si>
  <si>
    <t>BTXXII_A7</t>
  </si>
  <si>
    <t>Study_ID=20 deleted and reused</t>
  </si>
  <si>
    <t>In WIMBAV_overview</t>
  </si>
  <si>
    <t>Flexible CrystalPredictor (2), DMACRYS (2.0.8beta4)</t>
  </si>
  <si>
    <t>Study_ID=20, CrystalOptimizer, DMACRYS (2.0.8beta4)</t>
  </si>
  <si>
    <t>Yes, CSD version 6.01 with Feb 2026 update</t>
  </si>
  <si>
    <t>Yes, CSD version 5.45 with Mar, Jun and Sep updates</t>
  </si>
  <si>
    <t>WILZUM, WIMBAV08, WIMBAV10, WIMBAV12, WIMBAV07</t>
  </si>
  <si>
    <t>Price LS, McMahon JA, Lingireddy SR, Lau S-F, Diseroad BA, Price SL, Reutzel-Edens SM 2014. J Mol Struct. 1078, 26-42.</t>
  </si>
  <si>
    <t>Deleted this search.  Just with different values for DEintra, using MP2 as method and energy</t>
  </si>
  <si>
    <t>\CHEMISTRY_CPOSS\0-EarlySearches\home\louise_price.eminerals\2-fluorobenzamide\con_opt</t>
  </si>
  <si>
    <t>\CHEMISTRY_CPOSS\0-EarlySearches\home\louise_price.eminerals\carbamazepine_dmaflex</t>
  </si>
  <si>
    <t>\CHEMISTRY_CPOSS\0-EarlySearches\home\louise_price.eminerals\3,4-dinitrochlorobenzene\DEFDUN_iso</t>
  </si>
  <si>
    <t>\CHEMISTRY_CPOSS\Isonicotinamide\CrystOpt_differentintra</t>
  </si>
  <si>
    <t>\CHEMISTRY_CPOSS\Galunisertib\TGFb_CrystalOptimizer</t>
  </si>
  <si>
    <t>\CHEMISTRY_CPOSS\Galunisertib\TGFb_CrystalPredictor</t>
  </si>
  <si>
    <t>\CHEMISTRY_CPOSS\Galunisertib\TGFb_PCM</t>
  </si>
  <si>
    <t>\CHEMISTRY_CPOSS\Galunisertib\TGFb_Will</t>
  </si>
  <si>
    <t>\CHEMISTRY_CPOSS\0-EarlySearches\home\louise_price.eminerals\guanine\reopt</t>
  </si>
  <si>
    <t>\CHEMISTRY_CPOSS\Metacetamol\CrystalOptimizer</t>
  </si>
  <si>
    <t>\CHEMISTRY_CPOSS\Olanzapine\Clozapine\CrystOpt</t>
  </si>
  <si>
    <t>\CHEMISTRY_CPOSS\Olanzapine\Clozapine\CrystPred</t>
  </si>
  <si>
    <t>\CHEMISTRY_CPOSS\Olanzapine\Loxapine\CrystOpt</t>
  </si>
  <si>
    <t>\CHEMISTRY_CPOSS\MagnaPharm\Diclofenac\PCM</t>
  </si>
  <si>
    <t>\CHEMISTRY_CPOSS\MagnaPharm\Diclofenac\PCM_BZa</t>
  </si>
  <si>
    <t>\CHEMISTRY_CPOSS\Trinitrobenzene\FIT+ISA</t>
  </si>
  <si>
    <t>\CHEMISTRY_CPOSS\betaResorcylicAcid\bRA_monohydrate\UCLDBA_overview</t>
  </si>
  <si>
    <t>Blind Test IV</t>
  </si>
  <si>
    <t>MOLPAK, DMAREL (4.11)</t>
  </si>
  <si>
    <t>In BOQQUT_overview</t>
  </si>
  <si>
    <t>Azabicyclononanedione_B1</t>
  </si>
  <si>
    <t>Azabicyclononanedione_A1</t>
  </si>
  <si>
    <t>In BESKAL_overview</t>
  </si>
  <si>
    <t>GentisicAcid_A1</t>
  </si>
  <si>
    <t>BESKAL14, BESKAL04</t>
  </si>
  <si>
    <t>Rigid Crystal Predictor (x), DMACRYS (2.0.2)</t>
  </si>
  <si>
    <t>Braun DE, Karamertzanis PG, Price SL 2011. Chem Commun 47, 5443-5445.</t>
  </si>
  <si>
    <t>GentisicAcid_B1</t>
  </si>
  <si>
    <t>Tazofelone_A2</t>
  </si>
  <si>
    <t>Tazofelone_A1</t>
  </si>
  <si>
    <t>wc 30/03/2026</t>
  </si>
  <si>
    <t>CrystalPredictor, CrystalOptimizer, DMACRYS (2.0.4)</t>
  </si>
  <si>
    <t>GentisicAcidHH_A1</t>
  </si>
  <si>
    <t>GentisicAcidMH_A1</t>
  </si>
  <si>
    <t>GentisicAcidDH_A1</t>
  </si>
  <si>
    <t>CEBGOF01, CEBGOF04, CEBGOF05, CEBGOF06</t>
  </si>
  <si>
    <t>Methyl-p-hyxdroxybenzoate_A2</t>
  </si>
  <si>
    <t>In CEBGOF_overview</t>
  </si>
  <si>
    <t>BIPYRL04</t>
  </si>
  <si>
    <t>In BIPYRL_overview</t>
  </si>
  <si>
    <t>Study_ID=11, DMAflex, DMACRYS (1.1.0)</t>
  </si>
  <si>
    <t>Flexible CrystalPredictor (1), DMAflex-Q, DMAflex (single iteration), DMACRYS (1.0.1)</t>
  </si>
  <si>
    <t>Study_ID=11, DMAflex, DMACRYS (1.0.1 and 1.1.0)</t>
  </si>
  <si>
    <t>Study_ID=11, DMAREL (4.3.6)</t>
  </si>
  <si>
    <t>Flexible CrystalPredictor (1), DMAflex-Q, DMAflex (single iteration), DMACRYS (1.1.0)</t>
  </si>
  <si>
    <t>Study_ID=12, DMAREL (4.3.6)</t>
  </si>
  <si>
    <t>Rigid CrystalPredictor (1), DMACRYS (2.0.2)</t>
  </si>
  <si>
    <t>In AMBNAC_overview</t>
  </si>
  <si>
    <t>Study_ID=11 or 12 (not sure), DMAREL (4.3.6)</t>
  </si>
  <si>
    <t>SEMTAF01, SEMTAF02</t>
  </si>
  <si>
    <t>In TEPNIT_overview</t>
  </si>
  <si>
    <t>TEPNIT06, TEPNIT16</t>
  </si>
  <si>
    <t>MOLPAK, DMACRYS (1.0.1)</t>
  </si>
  <si>
    <t>AMBNAC19, AMBNAC12, AMBNAC16, AMBNAC09</t>
  </si>
  <si>
    <t>Karamertzanis PG, Kazantsev AV, Issa N, Welch GWA, Adjiman CS, Pantelides CC, Price SL 2009. J Chem Theory Comput 5, 1432-1448.</t>
  </si>
  <si>
    <t xml:space="preserve">Habgood M, Deij MA, Mazurek J, Price SL, ter Horst JH 2009. Cryst Growth Des 10, 903-912. </t>
  </si>
  <si>
    <t>Issa N, Barnett SA, Mohamed S, Braun DE, Copley RCB, Tocher DA, Price SL 2012. CrystEngComm 14, 2454-2464.</t>
  </si>
  <si>
    <t>AminobenzoicAcid_A3</t>
  </si>
  <si>
    <t>AminobenzoicAcid_A1</t>
  </si>
  <si>
    <t>AminobenzoicAcid_A2</t>
  </si>
  <si>
    <t>Bipyridine_A3</t>
  </si>
  <si>
    <t>Bipyridine_A1</t>
  </si>
  <si>
    <t>Bipyridine_A2</t>
  </si>
  <si>
    <t>Bipyridine_B2</t>
  </si>
  <si>
    <t>Bipyridine_B1</t>
  </si>
  <si>
    <t>In DAQYUQ_overview</t>
  </si>
  <si>
    <t>Bipy-2Aminobenzoic_A3</t>
  </si>
  <si>
    <t>Bipy-2Aminobenzoic_A1</t>
  </si>
  <si>
    <t>Bipy-2Aminobenzoic_A2</t>
  </si>
  <si>
    <t>In UCLPKA_overview</t>
  </si>
  <si>
    <t>Bipy-Aminobenzoic_A3</t>
  </si>
  <si>
    <t>Bipy-Aminobenzoic_A1</t>
  </si>
  <si>
    <t>Bipy-Aminobenzoic_A2</t>
  </si>
  <si>
    <t>In SEMTAF_overview</t>
  </si>
  <si>
    <t>NitrophenylaceticAcid_A1</t>
  </si>
  <si>
    <t>NitrophenylaceticAcid_A2</t>
  </si>
  <si>
    <t>in UCLNIB_overview</t>
  </si>
  <si>
    <t>In RILJOL_overview</t>
  </si>
  <si>
    <t>Dicyanobenzene_A1</t>
  </si>
  <si>
    <t>Dicyanobenzene_B1</t>
  </si>
  <si>
    <t>Bipy-Succinic_A2</t>
  </si>
  <si>
    <t>Bipy-Succinic_A1</t>
  </si>
  <si>
    <t>Dicyanobenzene-Succinic_A2</t>
  </si>
  <si>
    <t>Dicyanobenzene-Succinic_A1</t>
  </si>
  <si>
    <t>In LATJAT_overview</t>
  </si>
  <si>
    <t>Nitrophenyl-Aminobenzoic_A3</t>
  </si>
  <si>
    <t>Nitrophenyl-Aminobenzoic_A2</t>
  </si>
  <si>
    <t>Nitrophenyl-Aminobenzoic_A1</t>
  </si>
  <si>
    <t>Dicyanobenzene_C1</t>
  </si>
  <si>
    <t>wc 06/04/2026</t>
  </si>
  <si>
    <t>no</t>
  </si>
  <si>
    <t>QIVTUK01</t>
  </si>
  <si>
    <t>TCLBEN03, TCLBEN02</t>
  </si>
  <si>
    <t>Urea_A2</t>
  </si>
  <si>
    <t>Urea_A1</t>
  </si>
  <si>
    <t>Rigid CrystalPredictor, DMACRYS (2.2.0.1)</t>
  </si>
  <si>
    <t>Study_ID=20, CrystalOptimizer, DMACRYS (2.2.0.1)</t>
  </si>
  <si>
    <t>UREAXX25, UREAXX26, UREAXX27</t>
  </si>
  <si>
    <t>Stephen Tendyra</t>
  </si>
  <si>
    <t>In UREAXX_overview</t>
  </si>
  <si>
    <t>In UCLLIA_overview</t>
  </si>
  <si>
    <t>In UCLLIB_overview</t>
  </si>
  <si>
    <t>CrystalPredictor, CrystalOptimizer, DMACRYS (2.2.0.1)</t>
  </si>
  <si>
    <t>TetrazolPyrazine_A1</t>
  </si>
  <si>
    <t>TetrazolPyrazine_A2</t>
  </si>
  <si>
    <t>TetrazolPyrazine_A3</t>
  </si>
  <si>
    <t>TetrazolPyrimidine_A1</t>
  </si>
  <si>
    <t>TetrazolPyrimidine_A2</t>
  </si>
  <si>
    <t>TetrazolPyrimidine_A3</t>
  </si>
  <si>
    <t>wc 13/04/2026</t>
  </si>
  <si>
    <t>In TCLBEN_overview</t>
  </si>
  <si>
    <t>Tetrachlorobenzene_A1</t>
  </si>
  <si>
    <t>In \CHEMISTRY_CPOSS\betaResorcylicAcid\</t>
  </si>
  <si>
    <t>Removed,  Not necessary to have this old method</t>
  </si>
  <si>
    <t>See related Barnett, S.A.; Johnston, A.; Florence, A.J.; Price, S.L.; Tocher, D.A. 2008. Cryst. Growth Des. 8, 24-36.</t>
  </si>
  <si>
    <t>D'Oria E, Karamertzanis PG, Price SL 2010. Cryst Growth Des 10, 1749-1756.</t>
  </si>
  <si>
    <t>Removed,  missing from archive</t>
  </si>
  <si>
    <t>Removed,  Not stored.  Unfortunately, a much bigger search!</t>
  </si>
  <si>
    <t>Removed,  first step missing from archive</t>
  </si>
  <si>
    <t>Braun DE, Karamertzanis PG, Price SL 2011. Chem Commun 47,  5443-5445.</t>
  </si>
  <si>
    <t>Barnett, S.A.; Johnston, A.; Florence, A.J.; Price, S.L.; Tocher, D.A. 2008. Cryst. Growth Des. 8, 24-36.</t>
  </si>
  <si>
    <t>Removed,  properties were calculated for the unoptimized unit cell</t>
  </si>
  <si>
    <t xml:space="preserve">Habgood M, Lancaster RW, Gateshki M, Kenwright AM 2013. Cryst Growth Des 13, 1771-1779. </t>
  </si>
  <si>
    <t>Braun DE, Karamertzanis PG, Arlin J-B, Florence AJ, Kahlenberg V, Tocher DA, Griesser UJ, Price SL 2011. Cryst Growth Des 11, 210-220.</t>
  </si>
  <si>
    <t>bResorcylicAcidHemihydrate_A2</t>
  </si>
  <si>
    <t>bResorcylicAcidHemihydrate_A1</t>
  </si>
  <si>
    <t>bResorcylicAcidHemihydrate_A3</t>
  </si>
  <si>
    <t>bResorcylicAcidMonohydrate_A2</t>
  </si>
  <si>
    <t>bResorcylicAcidMonohydrate_A1</t>
  </si>
  <si>
    <t>bResorcylicAcidMonohydrate_A3</t>
  </si>
  <si>
    <t>bResorcylicAcidDihydrate_A2</t>
  </si>
  <si>
    <t>bResorcylicAcidDihydrate_A1</t>
  </si>
  <si>
    <t>bResorcylicAcidDihydrate_A3</t>
  </si>
  <si>
    <t>26-dichloronitrobenzene_A1</t>
  </si>
  <si>
    <t>Not sure</t>
  </si>
  <si>
    <t>Removed as lost</t>
  </si>
  <si>
    <t>wc 20/04/2026</t>
  </si>
  <si>
    <t>\CHEMISTRY_CPOSS\0-EarlySearches\home\louise_price.eminerals\3,4-dinitrochlorobenzene\DEFDUN_aniso</t>
  </si>
  <si>
    <t>\CHEMISTRY_CPOSS\0-EarlySearches\home\louise_price.eminerals\3,4-dinitrochlorobenzene\Sarah_search</t>
  </si>
  <si>
    <t>CYURAC12</t>
  </si>
  <si>
    <t>In CYURAC_overview</t>
  </si>
  <si>
    <t>1,3,5-Triazinane-2,4,6-trione</t>
  </si>
  <si>
    <t>CyanuricAcid_A1</t>
  </si>
  <si>
    <t>34-dinitrochlorobenzene_A1</t>
  </si>
  <si>
    <t>34-dinitrochlorobenzene_C1</t>
  </si>
  <si>
    <t>34-dinitrochlorobenzene_B1</t>
  </si>
  <si>
    <t>In \CHEMISTRY_CPOSS\0-EarlySearches\home\louise_price.eminerals\3,4-dinitrochlorobenzene\DEFDUN_overview</t>
  </si>
  <si>
    <t>CLFORM02, CLFORM03</t>
  </si>
  <si>
    <t>In CLFORM_overview</t>
  </si>
  <si>
    <t>Chloroform_A1</t>
  </si>
  <si>
    <t>Chloroform_B1</t>
  </si>
  <si>
    <t>In \CHEMISTRY_CPOSS\0-EarlySearches\home\louise_price.eminerals\deazauracil/CAXKOB_overview</t>
  </si>
  <si>
    <t>Deazauracil_A1</t>
  </si>
  <si>
    <t>Deazauracil_B1</t>
  </si>
  <si>
    <t>Deazauracil_C1</t>
  </si>
  <si>
    <t>In HCSBTZ_overview</t>
  </si>
  <si>
    <t>HCSBTZ08, HCSBTZ02</t>
  </si>
  <si>
    <t>Hydrochlorothiazide_A1</t>
  </si>
  <si>
    <t>In QQQAUG_overview</t>
  </si>
  <si>
    <t>QQQAMM01</t>
  </si>
  <si>
    <t>QQQAUG04, QQQAUG17, QQQAUG22, QQQAUG23</t>
  </si>
  <si>
    <t>Chlorothiazide_A1</t>
  </si>
  <si>
    <t>In GODTIC_overview</t>
  </si>
  <si>
    <t>Equilin_A2</t>
  </si>
  <si>
    <t>Equilin_A1</t>
  </si>
  <si>
    <t>In QQQAMM_overview</t>
  </si>
  <si>
    <t>Johnston A, Bardin J, Johnston BF, Fernandes P, Kennedy AR, Price SL, Florence AJ 2011. Cryst Growth Des 11, 405-413.</t>
  </si>
  <si>
    <t>Equilinin_A1</t>
  </si>
  <si>
    <t>Equilinin_A2</t>
  </si>
  <si>
    <t>In UCLHOF_overview</t>
  </si>
  <si>
    <t>4Hydroxycoumarin_A1</t>
  </si>
  <si>
    <t>ALOXAN11, ALOXAN14</t>
  </si>
  <si>
    <t>In ALOXAN_overview</t>
  </si>
  <si>
    <t>Alloxan_A1</t>
  </si>
  <si>
    <t>In XERBEB_overview</t>
  </si>
  <si>
    <t>5Azauracil_A1</t>
  </si>
  <si>
    <t>CYTSIN02, CYTSIN03</t>
  </si>
  <si>
    <t>In CYTSIN_overview</t>
  </si>
  <si>
    <t>Cytosine_A1</t>
  </si>
  <si>
    <t>In PIPHOO_overview</t>
  </si>
  <si>
    <t>Flexible CrystalPrecictor (2.x), CrystalOptimizer, DMACRYS (2.2.1.0)</t>
  </si>
  <si>
    <t>Estradiol_A1</t>
  </si>
  <si>
    <t>HXACAN28, HXACAN31, HXACAN40, HXACAN39, HXACAN47</t>
  </si>
  <si>
    <t>\CHEMISTRY_CPOSS\DehydroprolineAnhydride\opt\</t>
  </si>
  <si>
    <t>\CHEMISTRY_CPOSS\DehydroprolineAnhydride\exp\</t>
  </si>
  <si>
    <t>\CHEMISTRY_CPOSS\DehydroprolineAnhydride\dmaflex\</t>
  </si>
  <si>
    <t>Study_ID=0, Dmaflex (2), DMACRYS (1.1.1)</t>
  </si>
  <si>
    <t>In DHPROA_overview</t>
  </si>
  <si>
    <t>Dehydroproline_A1</t>
  </si>
  <si>
    <t>Dehydroproline_B1</t>
  </si>
  <si>
    <t>Dehydroproline_A2</t>
  </si>
  <si>
    <t>wc 27/04/2026</t>
  </si>
  <si>
    <t>Removed, not stored anywhere</t>
  </si>
  <si>
    <t>MOLPAK, dmaflex (2), DMACRYS (1.1.1)</t>
  </si>
  <si>
    <t>\CHEMISTRY_CPOSS\0-EarlySearches\home\louise_price.eminerals\BZPHAN_dmaflex</t>
  </si>
  <si>
    <t>Ismail SZ, Anderton CL, Copley RCB, Price LS, Price SL 2013. Cryst Growth Des 13, 2396-2406.</t>
  </si>
  <si>
    <t>In S, \CHEMISTRY_CPOSS\2-chlorobenzamide_CPCO\CLBZAM_overview</t>
  </si>
  <si>
    <t>Price LS, Price SL 2022 Cryst Growth Des 22, 1801-1816</t>
  </si>
  <si>
    <t>Braun DE, Ardid-Candel M, D'Oria E, Karamertzanis PG, Arlin JB, Florence AJ, Jones AG, Price SL 2011. Cryst Growth Des 11, 5659-5669.</t>
  </si>
  <si>
    <t xml:space="preserve">Mohamed S, Tocher DA, Price SL 2011. Int J Pharm 218, 187-198. </t>
  </si>
  <si>
    <t>In S, \CHEMISTRY_CPOSS\SaltOrCocrystal-IntJPharm2011\dimethylaminopyridinemaleicacid</t>
  </si>
  <si>
    <t>Habgood M 2011. Cryst Growth Des 11, 3600-3608.</t>
  </si>
  <si>
    <t>In S, \CHEMISTRY_CPOSS\SaltOrCocrystal-IntJPharm2011\pyridineisophthalicacid</t>
  </si>
  <si>
    <t>Ridout J, Price LS, Howard JAK, Probert MR 2014. Cryst Growth Des 14, 3384-3391.</t>
  </si>
  <si>
    <t>Uzoh OG, Cruz-Cabeza AJ, Price SL 2012. Cryst Growth Des 12, 4230-4239.</t>
  </si>
  <si>
    <t>Habgood M, Price SL 2010. Cryst Growth Des 10, 3263-3272.</t>
  </si>
  <si>
    <t>Mohamed S, Barnett SA, Tocher DA, Shankland K, Leech CK, Price SL 2008. CrystEngComm 10, 399-404.</t>
  </si>
  <si>
    <t>Braun DE, Tocher DA, Price SL, Griesser UJ 2012. The Journal of Physical Chemistry B 116, 3961-3972.</t>
  </si>
  <si>
    <t>Habgood M 2012. Phys Chem Chem Phys 14, 9195-9203.</t>
  </si>
  <si>
    <t>In S, \CHEMISTRY_CPOSS\0-EarlySearches\home\louise_price.eminerals\gentisic_acid\BESKAL_overview</t>
  </si>
  <si>
    <t>Wu H, Habgood M, Parker JE, Reeves-McLaren N, Cockcroft JK, Vickers M, West AR, Jones AG 2013. CrystEngComm 15, 1853-1859.</t>
  </si>
  <si>
    <t>In S, \CHEMISTRY_CPOSS\SaltOrCocrystal-IntJPharm2011\cyanopyridinefluorobenzoicacid</t>
  </si>
  <si>
    <t>Bhardwaj RM, Price LS, Price SL, Reutzel-Edens SM, Miller GJ, Oswald IDH, Johnston B, Florence AJ 2013. Cryst Growth Des 13, 1602-1617.</t>
  </si>
  <si>
    <t>Reilly, A. M. et al, Acta Crystallographica Section B,  Structural Science, Crystal Engineering and Materials, 2016, Volume B72, pages 439-459 (List 1)</t>
  </si>
  <si>
    <t>Reilly, A. M. et al, Acta Crystallographica Section B,  Structural Science, Crystal Engineering and Materials, 2016, Volume B72, pages 439-459 (List 2)</t>
  </si>
  <si>
    <t xml:space="preserve">Torrisi A, Leech CK, Shankland K, David WIF, Ibberson RM, Benet-Buchholz J, Boese R, Leslie M, Catlow CRA, Price SL 2008. J Phys Chem B 112, 3746-3758. </t>
  </si>
  <si>
    <t>4caffhyd21sea.tar.gz in that same folder could be a 2, 1 search.  There doesn't appear to be a 1, 2 search</t>
  </si>
  <si>
    <t>Habgood M, Price SL, Portalone G, Irrera S 2011. J Chem Theory Comput 7, 2685-2688.</t>
  </si>
  <si>
    <t>In BZPHAN_overview</t>
  </si>
  <si>
    <t>Benzophenanthrene_B1</t>
  </si>
  <si>
    <t>Benzophenanthrene_A1</t>
  </si>
  <si>
    <t>Benzophenanthrene_C1</t>
  </si>
  <si>
    <t>Hydroxymethyloxazolidinone_A1</t>
  </si>
  <si>
    <t>Hydroxymethyloxazolidinone_A2</t>
  </si>
  <si>
    <t>\CHEMISTRY_CPOSS\0-EarlySearches\home\louise_price.eminerals\Hydroxymethyloxazolidinone\ConOpt</t>
  </si>
  <si>
    <t>\CHEMISTRY_CPOSS\0-EarlySearches\home\louise_price.eminerals\Hydroxymethyloxazolidinone\dmaflex</t>
  </si>
  <si>
    <t>Study_ID=0, dmaflex (2), DMACRYS (1.1.1)</t>
  </si>
  <si>
    <t>In EXEVUY_overview</t>
  </si>
  <si>
    <t>?</t>
  </si>
  <si>
    <t>In HXACAN_overview</t>
  </si>
  <si>
    <t>Flexible CrystalPredictor (2), CrystalOptimizer, DMACRYS (2.2.1.0)</t>
  </si>
  <si>
    <t>Paracetamol_B1</t>
  </si>
  <si>
    <t>Paracetamol_A1</t>
  </si>
  <si>
    <t>In GSKNCH_overview</t>
  </si>
  <si>
    <t>In DBTROP_overview</t>
  </si>
  <si>
    <t>Dibenzosuberenone_A1</t>
  </si>
  <si>
    <t>Chlorodibenzosuberone_A1</t>
  </si>
  <si>
    <t>Lancaster RW, Karamertzanis PG, Hulme AT, Tocher DA, Covey DF, Price SL  Chem. Commun 2006, (47), 4921-4923.</t>
  </si>
  <si>
    <t>Friščić T, Lancaster RW, Fabian L, Karamertzanis PG PNAS 2010, 107 (30), 13216-13221</t>
  </si>
  <si>
    <t>See Study_ID=0 (20)</t>
  </si>
  <si>
    <t>Rigid CrystalPredictor, DMACRYS (1.1.1)</t>
  </si>
  <si>
    <t>Study_ID=20, CrystalOptimizer, DMACRYS (1.1.1)</t>
  </si>
  <si>
    <t>In PROGST_overview</t>
  </si>
  <si>
    <t>PROGST12, PROGST13, EWACUA, KESBEQ</t>
  </si>
  <si>
    <t>Progesterone_A1</t>
  </si>
  <si>
    <t>Progesterone_B1</t>
  </si>
  <si>
    <t>Progesterone_A2</t>
  </si>
  <si>
    <t>Progesterone_B2</t>
  </si>
  <si>
    <t>27/04/2026</t>
  </si>
  <si>
    <t>04/05/2026</t>
  </si>
  <si>
    <t>11/05/2026</t>
  </si>
  <si>
    <t>18/05/2026</t>
  </si>
  <si>
    <t>25/05/2026</t>
  </si>
  <si>
    <t>In PYRENE_overview</t>
  </si>
  <si>
    <t>PYRENE11, PYRENE06, PYRENE08, PYRENE24, PYRENE29</t>
  </si>
  <si>
    <t>Rigid CrystalPredictor, DMACRYS (2.0.1)</t>
  </si>
  <si>
    <t>Study_ID=20, CrystalOptimizer, DMACRYS (2.0.1)</t>
  </si>
  <si>
    <t>Pyrene_A1</t>
  </si>
  <si>
    <t>Pyrene_A2</t>
  </si>
  <si>
    <t>In CUTCAW_overview</t>
  </si>
  <si>
    <t>Phenanthrenol_A1</t>
  </si>
  <si>
    <t>Phenanthrenol_A2</t>
  </si>
  <si>
    <t>Not stored anywhere; Deleted from database</t>
  </si>
  <si>
    <t>wc 04/05/2026</t>
  </si>
  <si>
    <t>In IMAZOL_overview</t>
  </si>
  <si>
    <t>IMAZOL06, IMAZOL25</t>
  </si>
  <si>
    <t>Imidazole_A1</t>
  </si>
  <si>
    <t>CIWMAW01</t>
  </si>
  <si>
    <t>In CIWMAW_overview</t>
  </si>
  <si>
    <t>DiaminoDinitroPyrazine_A1</t>
  </si>
  <si>
    <t>Flexible CrystalPredictor (1), DMACRYS (1.1.1)</t>
  </si>
  <si>
    <t>In AVCZPA_overview</t>
  </si>
  <si>
    <t>CarbamazepinePicolinamide_A1</t>
  </si>
  <si>
    <t>BARBAC01, BARBAC02, BARBAC03</t>
  </si>
  <si>
    <t>In BARBAC_overview</t>
  </si>
  <si>
    <t>BarbituricAcid_A1</t>
  </si>
  <si>
    <t>Coumarin_A1</t>
  </si>
  <si>
    <t>COUMAR11, COUMAR20, COUMAR15, COUMAR16, COUMAR18</t>
  </si>
  <si>
    <t>In COUMAR_overview</t>
  </si>
  <si>
    <t>DAXBIN01</t>
  </si>
  <si>
    <t>In DAXBIN_overview</t>
  </si>
  <si>
    <t>In ICYTIN_overview</t>
  </si>
  <si>
    <t>6methoxycoumarin_A1</t>
  </si>
  <si>
    <t>In CEWVOP_overview</t>
  </si>
  <si>
    <t>CEWVOP01, CEWVOP03, CEWVOP06</t>
  </si>
  <si>
    <t>6methyluracil_A1</t>
  </si>
  <si>
    <t>In DETFOX_overview</t>
  </si>
  <si>
    <t>7hydroxycoumarin_A1</t>
  </si>
  <si>
    <t>In FINVAZ_overview</t>
  </si>
  <si>
    <t>AmantadineHydrochloride_A1</t>
  </si>
  <si>
    <t>5AzauracilMonohydrate_A1</t>
  </si>
  <si>
    <t>ICYTIN01</t>
  </si>
  <si>
    <t>See Study_ID-0</t>
  </si>
  <si>
    <t>Isocytosine_A1</t>
  </si>
  <si>
    <t>Isocytosine_B1</t>
  </si>
  <si>
    <t>CrystalPredictor (1), DMAflex-Q, DMACRYS (2.0.4)</t>
  </si>
  <si>
    <t>In INDMET_overview</t>
  </si>
  <si>
    <t>Indomethacin_A2</t>
  </si>
  <si>
    <t>Indomethacin_A1</t>
  </si>
  <si>
    <t>Indomethacin_A3</t>
  </si>
  <si>
    <t>INDMET05, INDMET02, INDMET07, INDMET09, INDMET10</t>
  </si>
  <si>
    <t>An experimental paper - DOI 10.1039/c5cp03880d</t>
  </si>
  <si>
    <t>wc 11/05/2026</t>
  </si>
  <si>
    <t>Caffeine_A1</t>
  </si>
  <si>
    <t>Caffeine_B1</t>
  </si>
  <si>
    <t>Caffeine_C1</t>
  </si>
  <si>
    <t>In ISCOFF_overview</t>
  </si>
  <si>
    <t>In NIWFEE_overview</t>
  </si>
  <si>
    <t>In PYRDNA_overview</t>
  </si>
  <si>
    <t>In MEBQEQ_overview</t>
  </si>
  <si>
    <t>In KOXRIY_overview</t>
  </si>
  <si>
    <t>Isocaffeine_A1</t>
  </si>
  <si>
    <t>Urazole_A1</t>
  </si>
  <si>
    <t>Rigid CrystalPredictor, DMAREL (4.1.1)</t>
  </si>
  <si>
    <t>Rigid CrystalPredictor, DFTB3-D3, DMACRYS (2.3.0)</t>
  </si>
  <si>
    <t>Possible Caffeine-Paracetamol cocrystal paper with Kreso</t>
  </si>
  <si>
    <t>NIWFEE02, NIWFEE05</t>
  </si>
  <si>
    <t>July 2019</t>
  </si>
  <si>
    <t>Study_ID=20, dmaflex, DMAREL (4.1.1)</t>
  </si>
  <si>
    <t>Caffeine_B2</t>
  </si>
  <si>
    <t>5fluorocytosine_A1</t>
  </si>
  <si>
    <t>MEBQEQ, MEBQEQ01</t>
  </si>
  <si>
    <t>\CHEMISTRY_CPOSS\Pyridine\DIFF</t>
  </si>
  <si>
    <t>\CHEMISTRY_CPOSS\Pyridine\DIFF_ISO</t>
  </si>
  <si>
    <t>In NAPHTA_overview</t>
  </si>
  <si>
    <t>Rigid CrystalPredictor, DMACRYS (2.2.1.1)</t>
  </si>
  <si>
    <t>Rigid CrystalPredictor, DMACRYS (2.2.1.0)</t>
  </si>
  <si>
    <t>PYRDNA04, PYRDNA05, PYRDNA08</t>
  </si>
  <si>
    <t>November 2016</t>
  </si>
  <si>
    <t>December 2016</t>
  </si>
  <si>
    <t>See Study_ID=2</t>
  </si>
  <si>
    <t>Aina AA; Misquitta AJ; Price SL, J Chem Phys 2017, 147, (16), 161722.</t>
  </si>
  <si>
    <t>Pyridine_A1</t>
  </si>
  <si>
    <t>Pyridine_A2</t>
  </si>
  <si>
    <t>Pyridine_A3</t>
  </si>
  <si>
    <t>NAPHTA32</t>
  </si>
  <si>
    <t>Naphthalene_A1</t>
  </si>
  <si>
    <t>Naphthalene_B1</t>
  </si>
  <si>
    <t>caffeine - 2-hydroxybenzoicacid</t>
  </si>
  <si>
    <t>MOZCUA &amp; MOZDAH are 2-1 and 1-2 cocrystals</t>
  </si>
  <si>
    <t>In QARVOV_overview</t>
  </si>
  <si>
    <t>3Oxauracil_A1</t>
  </si>
  <si>
    <t>In XOBCAT_overview</t>
  </si>
  <si>
    <t>In \CHEMISTRY_CPOSS\0-EarlySearches\home\louise_price.eminerals\Caffeine_SalicylicAcid\XOBCAT_overview</t>
  </si>
  <si>
    <t>In UCLDKB_overview</t>
  </si>
  <si>
    <t>3,7-dihydro-1,3,7-trimethyl-1H-purine-2,6-dione - 3-hydroxybenzoic acid</t>
  </si>
  <si>
    <t>3,7-dihydro-1,3,7-trimethyl-1H-purine-2,6-dione - 4-hydroxybenzoic acid</t>
  </si>
  <si>
    <t>3,7-dihydro-1,3,7-trimethyl-1H-purine-2,6-dione - 2-hydroxybenzoic acid</t>
  </si>
  <si>
    <t>Rigid CrystalPrecictor, DMACRYS (1.1.1)</t>
  </si>
  <si>
    <t>1,3,7-trimethyl-2,6-dioxypurine_N-(4-hydroxyphenyl)acetamide - N-(4-hydroxyphenyl)acetamide</t>
  </si>
  <si>
    <t>Flexible CrystalPredictor (2), DFTB3-D3, DMACRYS (2.3.0)</t>
  </si>
  <si>
    <t>CaffeineParacetamol_A1</t>
  </si>
  <si>
    <t>Caffeine3HBA_A1</t>
  </si>
  <si>
    <t>Caffeine4HBA_A1</t>
  </si>
  <si>
    <t>3,7-dihydro-1,3,7-trimethyl-1H-purine-2,6-dione - bis(4-hydroxybenzoic acid)</t>
  </si>
  <si>
    <t>MOZDAH</t>
  </si>
  <si>
    <t>caffeine - 2 4-hydroxybenzoicacid</t>
  </si>
  <si>
    <t>\CHEMISTRY_CPOSS\0-EarlySearches\home\louise_price.eminerals\Caffeine_bis4HydroxyBenzoicAcid</t>
  </si>
  <si>
    <t>Caffeinebis4HBA_A1</t>
  </si>
  <si>
    <t>WEMGEC</t>
  </si>
  <si>
    <t>Flexible CrystalPredictor, CrystalOptimizer, DMACRYS (2.0.4)</t>
  </si>
  <si>
    <t>In WEMGEC_overview</t>
  </si>
  <si>
    <t>EphedriniumTartrate_A2</t>
  </si>
  <si>
    <t>EphedriniumTartrate_A1</t>
  </si>
  <si>
    <t>wc 18/05/2026</t>
  </si>
  <si>
    <t>FIZPEL, FIZPEL01, FIZPEL03, FIZPEL04, TUYBIA, TUYBIA01</t>
  </si>
  <si>
    <t>Flexible CrystalPredictor, limited CrystalOptimizer, DMACRYS (2.0.8beta3)</t>
  </si>
  <si>
    <t>Study_ID=20, CrystalOptimizer, DMACRYS (2.0.8beta3)</t>
  </si>
  <si>
    <t>MOLPAK, DMACRYS (2.0.8beta3)</t>
  </si>
  <si>
    <t>ChloromandelicAcid_A3</t>
  </si>
  <si>
    <t>ChloromandelicAcid_A1</t>
  </si>
  <si>
    <t>ChloromandelicAcid_A2</t>
  </si>
  <si>
    <t>ChloromandelicAcid_B1</t>
  </si>
  <si>
    <t>Study_ID=10, DMACRYS (2.0.8beta4)</t>
  </si>
  <si>
    <t>In TUYBIA_overview</t>
  </si>
  <si>
    <t>Hylton RK, Tizzard GJ, Threlfall TL, Ellis AL, Coles SJ, Seaton CC, Schulze E, Lorenz H, Seidel-Morgenstern A, Stein M, Price SL, Journal of the American Chemical Society 2015, 137, 11095-11104.</t>
  </si>
  <si>
    <t>IJUMEG06, IJUMEG, IJUMEG04</t>
  </si>
  <si>
    <t>Study_ID=0, DMACRYS (2.0.4)</t>
  </si>
  <si>
    <t>GallicAcid_A1</t>
  </si>
  <si>
    <t>GallicAcid_A2</t>
  </si>
  <si>
    <t>In IJUMEG_overview</t>
  </si>
  <si>
    <t>CIVTUW, CIVTUW01</t>
  </si>
  <si>
    <t>CLBZAC03</t>
  </si>
  <si>
    <t>MOLPAK, DMACRYS (2.0.2)</t>
  </si>
  <si>
    <t>CrystalPredictor, CrystalOptimizar, DMACRYS (2.0.8RC1)</t>
  </si>
  <si>
    <t>METHOL, METHOL02, METHOL05, METHOL03, METHOL06</t>
  </si>
  <si>
    <t>2-amino-2-oxoacetic acid</t>
  </si>
  <si>
    <t>\CHEMISTRY_CPOSS\0-EarlySearches\home\louise_price.eminerals\oxamic_acid</t>
  </si>
  <si>
    <t>PARBAC04</t>
  </si>
  <si>
    <t>NMACEP03, NMACEP01</t>
  </si>
  <si>
    <t>10.1021/jp068530q</t>
  </si>
  <si>
    <t>KOHCUI, KOHCUI01, KOHCUI02, KOHCUI04</t>
  </si>
  <si>
    <t>CrystalPredictor, CrystalOptimizer, DMACRYS (2.0.3)</t>
  </si>
  <si>
    <t>TETROL02, TETROL07</t>
  </si>
  <si>
    <t>CrystalPredictor, CrystalOptimizer, DMACRYS (2.0.8)</t>
  </si>
  <si>
    <t>PYRIDO04, PYRIDO12</t>
  </si>
  <si>
    <t>In BOWWAL_overview</t>
  </si>
  <si>
    <t>In CBNCAC_overview</t>
  </si>
  <si>
    <t>In CIVTUW_overview</t>
  </si>
  <si>
    <t>In CLBZAC_overview</t>
  </si>
  <si>
    <t>CarbonicAcid_A1</t>
  </si>
  <si>
    <t>Trinitrodibenzopyranone_A1</t>
  </si>
  <si>
    <t>ChlorobenzoicAcid_A1</t>
  </si>
  <si>
    <t>Polito M, D'Oria E, Maini L, Karamertzanis PG, Grepioni F, Braga D, Price SL,  CrystEngComm 2008, 10, 1848-1854.</t>
  </si>
  <si>
    <t>In GIMREA_overview</t>
  </si>
  <si>
    <t>Formyluracil_A1</t>
  </si>
  <si>
    <t>In OROTIC_overview</t>
  </si>
  <si>
    <t>In AFIGOO_overview</t>
  </si>
  <si>
    <t>In PARBAC_overview</t>
  </si>
  <si>
    <t>OroticAcid_A1</t>
  </si>
  <si>
    <t>OxamicAcid_A1</t>
  </si>
  <si>
    <t>ParabanicAcid_A1</t>
  </si>
  <si>
    <t>Lewis TC, Tocher DA, Price SL, Cryst. Growth Des., 5(3), 983-993 (2005)</t>
  </si>
  <si>
    <t>In PYRIDO_overview</t>
  </si>
  <si>
    <t>Pyridone_B1</t>
  </si>
  <si>
    <t>Pyridone_A1</t>
  </si>
  <si>
    <t>In ZECWOV_overview</t>
  </si>
  <si>
    <t>BenzylTetrazole_A1</t>
  </si>
  <si>
    <t>BenzylTetrazole_A2</t>
  </si>
  <si>
    <t>Study_ID=30, CrystalOptimizer, DMACRYS (2.0.4)</t>
  </si>
  <si>
    <t>In TETROL_overview</t>
  </si>
  <si>
    <t>TetrolicAcid_A1</t>
  </si>
  <si>
    <t>TetrolicAcid_A2</t>
  </si>
  <si>
    <t>DiaminoDinitroPyridineOxide_A1</t>
  </si>
  <si>
    <t>In TIBMIA_overview</t>
  </si>
  <si>
    <t>In TONIBR_overview</t>
  </si>
  <si>
    <t>BromoAminoBenzoicAcid_A1</t>
  </si>
  <si>
    <t>In UCLLPB_overview</t>
  </si>
  <si>
    <t>In UCLLPA_overview</t>
  </si>
  <si>
    <t>DihydroDibenzoCycloheptenylEthanone_A1</t>
  </si>
  <si>
    <t>DibenzoCycloheptenylEthanone_A1</t>
  </si>
  <si>
    <t>In UCLPKB_overview</t>
  </si>
  <si>
    <t>In UCLPKC_overview</t>
  </si>
  <si>
    <t>Methylazetidineone_A1</t>
  </si>
  <si>
    <t>TetrahydroDimethylQuinoline_A1</t>
  </si>
  <si>
    <t>In UCLSMA_overview</t>
  </si>
  <si>
    <t>MemantineHydrochloride_A1</t>
  </si>
  <si>
    <t>\CHEMISTRY_CPOSS\BlindTest2010\XATJOT\RABYID</t>
  </si>
  <si>
    <t>In RABYID_overview</t>
  </si>
  <si>
    <t>QuinoliniumFumarate_A1</t>
  </si>
  <si>
    <t>AFEBUI03</t>
  </si>
  <si>
    <t>In AFEBUI_overview</t>
  </si>
  <si>
    <t>In ANTCEN_overview</t>
  </si>
  <si>
    <t>In BELBUP_overview</t>
  </si>
  <si>
    <t>Anthracene_A1</t>
  </si>
  <si>
    <t>DipicolinicAcid_A1</t>
  </si>
  <si>
    <t>wc 01/06/2026</t>
  </si>
  <si>
    <t>BELBUP01, BELBUP02, BELBUP06</t>
  </si>
  <si>
    <t>DCLMET13</t>
  </si>
  <si>
    <t>In DCLMET_overview</t>
  </si>
  <si>
    <t>In HBZAZP_overview</t>
  </si>
  <si>
    <t>Yes, CSD version 6.01 with Feb and May 2026 updates</t>
  </si>
  <si>
    <t>HBZAZP01</t>
  </si>
  <si>
    <t>In METHOL_overview</t>
  </si>
  <si>
    <t>Hydroxyazabenzotriazole_A1</t>
  </si>
  <si>
    <t>Dichloromethane_A1</t>
  </si>
  <si>
    <t>Dichloromethane_B1</t>
  </si>
  <si>
    <t>Methanol_A1</t>
  </si>
  <si>
    <t>Iminodibenzyl_A1</t>
  </si>
  <si>
    <t>Study_ID=0, DMACRYS (2.2.3.0)</t>
  </si>
  <si>
    <t>June 2026</t>
  </si>
  <si>
    <t>01/06/2026</t>
  </si>
  <si>
    <t>08/06/2026</t>
  </si>
  <si>
    <t>\CHEMISTRY_CPOSS\0-EarlySearches\home\louise_price.eminerals\iminodibenzyl_2</t>
  </si>
  <si>
    <t>Iminodibenzyl_A2</t>
  </si>
  <si>
    <t>Trifluoroethanol_A1</t>
  </si>
  <si>
    <t>Trifluoroethanol_B1</t>
  </si>
  <si>
    <t>In KOHCUI_overview</t>
  </si>
  <si>
    <t>In PCLNBZ_overview</t>
  </si>
  <si>
    <t>Pentachloronitrobenzene_A1</t>
  </si>
  <si>
    <t>Can't be made</t>
  </si>
  <si>
    <t>wc 08/06/2026</t>
  </si>
  <si>
    <t>There are four searches on cMet that are not on the database.  They are not to be included, as this was a proprietary compound and the Industrial scientists have now left the company</t>
  </si>
  <si>
    <t>In WOQDAH_overview</t>
  </si>
  <si>
    <t>Salsalate_A1</t>
  </si>
  <si>
    <t>Salsalate_A2</t>
  </si>
  <si>
    <t>Files not found, left on database for now.</t>
  </si>
  <si>
    <t>Folder</t>
  </si>
  <si>
    <t>Webname</t>
  </si>
  <si>
    <t>Refcode</t>
  </si>
  <si>
    <t>DateUpdated</t>
  </si>
  <si>
    <t>LandscapeSuffixes</t>
  </si>
  <si>
    <t>1.BlindTest/XII</t>
  </si>
  <si>
    <t>B2</t>
  </si>
  <si>
    <t>March2024</t>
  </si>
  <si>
    <t>Cyheptamide_B1</t>
  </si>
  <si>
    <t>Cyheptamide_A1</t>
  </si>
  <si>
    <t>Cyheptamide_A2</t>
  </si>
  <si>
    <t>TransFOX7_A1</t>
  </si>
  <si>
    <t>NAcetyldibenzazepine_A1</t>
  </si>
  <si>
    <t>FOX7_A1</t>
  </si>
  <si>
    <t>FOX7_B1</t>
  </si>
  <si>
    <t>Thymine_A1</t>
  </si>
  <si>
    <t>Thymine_B1</t>
  </si>
  <si>
    <t>A1</t>
  </si>
  <si>
    <t>December2025</t>
  </si>
  <si>
    <t>DipicolinicAcid</t>
  </si>
  <si>
    <t>June2026</t>
  </si>
  <si>
    <t>A2</t>
  </si>
  <si>
    <t>April2026</t>
  </si>
  <si>
    <t>AminobenzoicAcid</t>
  </si>
  <si>
    <t>1.SubstitutedBenzamides/4aminobenzamide</t>
  </si>
  <si>
    <t>1.SubstitutedBenzamides/3aminobenzamide</t>
  </si>
  <si>
    <t>1.SubstitutedBenzamides/2aminobenzamide</t>
  </si>
  <si>
    <t>January2026</t>
  </si>
  <si>
    <t>1.SubstitutedBenzamides/2fluorobenzamide</t>
  </si>
  <si>
    <t>1.SubstitutedBenzamides/2bromobenzamide</t>
  </si>
  <si>
    <t>A1,B1</t>
  </si>
  <si>
    <t>B1,C1,A1</t>
  </si>
  <si>
    <t>CSD version</t>
  </si>
  <si>
    <t>Yes, CSD version 5.44 with Apr 2023 update</t>
  </si>
  <si>
    <t>OxamicAcid</t>
  </si>
  <si>
    <t>1.OlanzapineFamily/Amoxapine</t>
  </si>
  <si>
    <t>1.OlanzapineFamily/Clozapine</t>
  </si>
  <si>
    <t>1.OlanzapineFamily/Loxapine</t>
  </si>
  <si>
    <t>November2011</t>
  </si>
  <si>
    <t>B2,A1</t>
  </si>
  <si>
    <t>1.OlanzapineFamily/Olanzapine</t>
  </si>
  <si>
    <t>A3,B2</t>
  </si>
  <si>
    <t>October2024</t>
  </si>
  <si>
    <t>1.SubstitutedBenzamides/2chlorobenzamide</t>
  </si>
  <si>
    <t>1.BlindTest/IV</t>
  </si>
  <si>
    <t>1.BlindTest/IX</t>
  </si>
  <si>
    <t>1.BlindTest/VIII</t>
  </si>
  <si>
    <t>1.BlindTest/XI</t>
  </si>
  <si>
    <t>1.BlindTest/XIII</t>
  </si>
  <si>
    <t>1.BlindTest/XIV</t>
  </si>
  <si>
    <t>1.BlindTest/XIX/QuinoliniumFumarate</t>
  </si>
  <si>
    <t>1.BlindTest/XIX/BTXIX</t>
  </si>
  <si>
    <t>March2026</t>
  </si>
  <si>
    <t>1.BlindTest/XV/AminoPyrimidine</t>
  </si>
  <si>
    <t>1.BlindTest/XV/OtolicAcid</t>
  </si>
  <si>
    <t>B1</t>
  </si>
  <si>
    <t>A3</t>
  </si>
  <si>
    <t>BTVIII_A1</t>
  </si>
  <si>
    <t>February2026</t>
  </si>
  <si>
    <t>CommonName</t>
  </si>
  <si>
    <t>1.BlindTest/XV/BTXV</t>
  </si>
  <si>
    <t>1.BlindTest/XVI</t>
  </si>
  <si>
    <t>1.BlindTest/XVII</t>
  </si>
  <si>
    <t>1.BlindTest/XVIII</t>
  </si>
  <si>
    <t>1.BlindTest/XX</t>
  </si>
  <si>
    <t>A2,B1</t>
  </si>
  <si>
    <t>Dipicolinic.Acid</t>
  </si>
  <si>
    <t>Oxamic.Acid</t>
  </si>
  <si>
    <t>Aminobenzoic.Acid</t>
  </si>
  <si>
    <t>2-chlorobenzamide</t>
  </si>
  <si>
    <t>Otolic.Acid</t>
  </si>
  <si>
    <t>Hydantoin.(Blind.Test.VIII)</t>
  </si>
  <si>
    <t>Quinolinium.Fumarate</t>
  </si>
  <si>
    <t>Aminopyrimidine.Otolic.acid.Cocrystal.(Blind.Test.XV)</t>
  </si>
  <si>
    <t>Aminopyrimidine</t>
  </si>
  <si>
    <t>Naphthyridinium.Fumarate.(Blind.Test.XIX)</t>
  </si>
  <si>
    <t>3-aminobenzamide</t>
  </si>
  <si>
    <t>GallicAcidMH_A2</t>
  </si>
  <si>
    <t>GallicAcidMH_B2</t>
  </si>
  <si>
    <t>GallicAcidMH_A1</t>
  </si>
  <si>
    <t>GallicAcidMH_B1</t>
  </si>
  <si>
    <t>A2,B2</t>
  </si>
  <si>
    <t>Gallic.Acid.Monohydrate.(Blind.Test.XXI)</t>
  </si>
  <si>
    <t>1.BlindTest/XXI</t>
  </si>
  <si>
    <t>1.BlindTest/XXII</t>
  </si>
  <si>
    <t>Blind.Test.XXII.(NACJAF)</t>
  </si>
  <si>
    <t>A2,A5</t>
  </si>
  <si>
    <t>1.BlindTest/XXIII</t>
  </si>
  <si>
    <t>Blind.Test.XXIII.(XAFPAY)</t>
  </si>
  <si>
    <t>A3,B1</t>
  </si>
  <si>
    <t>Blind.Test.XXIV.(XAFQON)</t>
  </si>
  <si>
    <t>1.BlindTest/XXIV</t>
  </si>
  <si>
    <t>A7,A2</t>
  </si>
  <si>
    <t>1.BlindTest/XXIX</t>
  </si>
  <si>
    <t>Methyl.Anthranilate.(Blind.Test.XXIX)</t>
  </si>
  <si>
    <t>Blind.Test.XXV.Cocrystal.(XAFQAZ)</t>
  </si>
  <si>
    <t>1.BlindTest/XXVC</t>
  </si>
  <si>
    <t>Blind.Test.XXVI.(XAFQIH)</t>
  </si>
  <si>
    <t>1.BlindTest/XXVI</t>
  </si>
  <si>
    <t>B3,C1</t>
  </si>
  <si>
    <t>Blind.Test.XIV.(WIDBAO)</t>
  </si>
  <si>
    <t>Diiodoanthanthrone.(Blind.Test.IX)</t>
  </si>
  <si>
    <t>Azetidine.(Blind.Test.XI)</t>
  </si>
  <si>
    <t>Blind.Test.XIII.(SOXLEX)</t>
  </si>
  <si>
    <t>Blind.Test.XVI.(OBEQUJ)</t>
  </si>
  <si>
    <t>Blind.Test.XVIII.(OBEQET)</t>
  </si>
  <si>
    <t>Blind.Test.XX.(OBEQIX)</t>
  </si>
  <si>
    <t>Blind.Test.XVII.(OBEQOD)</t>
  </si>
  <si>
    <t>Azabicyclononanedione.(Blind.Test.IV)</t>
  </si>
  <si>
    <t>A1,B6</t>
  </si>
  <si>
    <t>March2025</t>
  </si>
  <si>
    <t>Blind.Test.XXVII.(XIFZOF)</t>
  </si>
  <si>
    <t>1.BlindTest/XXVII</t>
  </si>
  <si>
    <t>Blind.Test.XXVIII.(OJIGOG)</t>
  </si>
  <si>
    <t>1.BlindTest/XXVIII</t>
  </si>
  <si>
    <t>1.BlindTest/XXX/Cannabinol</t>
  </si>
  <si>
    <t>1.BlindTest/XXX/2CannabinolTetramethylpyrazine</t>
  </si>
  <si>
    <t>1.BlindTest/XXX/CannabinolTetramethylpyrazine</t>
  </si>
  <si>
    <t>1.BlindTest/XXX/Tetramethylpyrazine</t>
  </si>
  <si>
    <t>1.BlindTest/XXX/Cannabinol2Tetramethylpyrazine</t>
  </si>
  <si>
    <t>1.BlindTest/XXXI</t>
  </si>
  <si>
    <t>Blind.Test.XXXI.(ZEHFUR)</t>
  </si>
  <si>
    <t>Blind.Test.XXXII.(JEKVII)</t>
  </si>
  <si>
    <t>1.BlindTest/XXXII</t>
  </si>
  <si>
    <t>1.BlindTest/XXXIII</t>
  </si>
  <si>
    <t>Blind.Test.XXXIII.(ZEGWAN)</t>
  </si>
  <si>
    <t>XXVII_A1</t>
  </si>
  <si>
    <t>XXVII_B2</t>
  </si>
  <si>
    <t>XXVII_B3</t>
  </si>
  <si>
    <t>XXVII_B1</t>
  </si>
  <si>
    <t>XXVII_B5</t>
  </si>
  <si>
    <t>XXVII_B6</t>
  </si>
  <si>
    <t>XXVII_B4</t>
  </si>
  <si>
    <t>Cannabinol.(component.of.Blind.Test.XXX)</t>
  </si>
  <si>
    <t>bis.Cannabinol.Tetramethylpyrazine.cocrystal.(Blind.Test.XXX)</t>
  </si>
  <si>
    <t>Cannabinol.Tetramethylpyrazine.cocrystal.(Blind.Test.XXX)</t>
  </si>
  <si>
    <t>Cannabinol.bis.Tetramethylpyrazine.cocrystal.(Blind.Test.XXX)</t>
  </si>
  <si>
    <t>Tetramethylpyrazine.(component.of.Blind.Test.XXX)</t>
  </si>
  <si>
    <t>Propenal.(Blind.Test.XII)</t>
  </si>
  <si>
    <t>A2,A1,lines</t>
  </si>
  <si>
    <t>C8 N2 Cl4</t>
  </si>
  <si>
    <t>C5 H4 N4 O1</t>
  </si>
  <si>
    <t>C6 H10 N2 O2</t>
  </si>
  <si>
    <t>C15 H12 N2 O1</t>
  </si>
  <si>
    <t>C7 H4 N1 O4 Cl1 . H2 O1</t>
  </si>
  <si>
    <t>C16 H22 N3 O3 + . Cl -</t>
  </si>
  <si>
    <t>C14 H10 N1 O2 F3</t>
  </si>
  <si>
    <t>C4 H3 N2 O2 F1</t>
  </si>
  <si>
    <t>C15 H10 O1</t>
  </si>
  <si>
    <t>C21 H20 N1 Cl1</t>
  </si>
  <si>
    <t>C7 H11 N2 . C4 H3 O4</t>
  </si>
  <si>
    <t>C7 H8 N3 O4 Cl1 S2</t>
  </si>
  <si>
    <t>C14 H12 N1 O2 Cl1</t>
  </si>
  <si>
    <t>C7 H6 O5 . H2 O1</t>
  </si>
  <si>
    <t>C10 H8 N2 . C4 H6 O4</t>
  </si>
  <si>
    <t>C4 H4 N3 O1 F1</t>
  </si>
  <si>
    <t>C8 H7 N1 O4 . H2 O1</t>
  </si>
  <si>
    <t>C21 H26 O2 . C21 H26 O2 . C8 H12 N2</t>
  </si>
  <si>
    <t>C21 H26 O2 . C8 H12 N2</t>
  </si>
  <si>
    <t>C8 H10 N4 O2 . C7 H6 O3</t>
  </si>
  <si>
    <t>C8 H10 N4 O2 . C7 H6 O3 . C7 H6 O3</t>
  </si>
  <si>
    <t>C13 H9 N2 O2 F3</t>
  </si>
  <si>
    <t>C8 H12 N1 + . C9 H9 O2 -</t>
  </si>
  <si>
    <t>C7 H5 N1 O5 . H2 O1</t>
  </si>
  <si>
    <t>C8 H12 N1 + . C10 H11 O2 -</t>
  </si>
  <si>
    <t>C6 N1 O2 Cl5</t>
  </si>
  <si>
    <t>C6 H6 O3 . H2 O1 . H2 O1</t>
  </si>
  <si>
    <t>C7 H6 O4 . C7 H6 O4 . H2 O1</t>
  </si>
  <si>
    <t>C7 H6 N3 O4 Cl1 S2</t>
  </si>
  <si>
    <t>C8 H7 N1 O4 . C7 H7 N1 O2</t>
  </si>
  <si>
    <t>C7 H5 O2 F1 . C6 H4 N2</t>
  </si>
  <si>
    <t>C21 H30 O2 . C16 H10</t>
  </si>
  <si>
    <t>C21 H30 O2 . C21 H30 O2 . C16 H10</t>
  </si>
  <si>
    <t>C21 H30 O2 . C14 H10 O1</t>
  </si>
  <si>
    <t>C7 H6 O4 . H2 O1</t>
  </si>
  <si>
    <t>C7 H6 O4 . H2 O1 . H2 O1</t>
  </si>
  <si>
    <t>C8 H10 N4 O2 . C8 H9 N1 O2</t>
  </si>
  <si>
    <t>C8 H4 N18</t>
  </si>
  <si>
    <t>C7 H4 N14</t>
  </si>
  <si>
    <t>C7 H10 N2 . C4 H4 O4</t>
  </si>
  <si>
    <t>C7 H4 O2 F1 - . C6 H5 N2 +</t>
  </si>
  <si>
    <t>C17 H18 N2 . C7 H4 N2 O6</t>
  </si>
  <si>
    <t>C8 H7 N2 + . C4 H3 O4 -</t>
  </si>
  <si>
    <t>C3 H7 N1</t>
  </si>
  <si>
    <t>C3 H3 N3 O2</t>
  </si>
  <si>
    <t>C44 H52 I2 Si2</t>
  </si>
  <si>
    <t>C21 H26 O2 . C8 H12 N2 . C8 H12 N2</t>
  </si>
  <si>
    <t>C12 H12 N1 O3 F3 S1</t>
  </si>
  <si>
    <t>C8 H6 O4 . C5 H5 N1</t>
  </si>
  <si>
    <t>C8 H5 O4 - . C5 H6 N1 +</t>
  </si>
  <si>
    <t>CPOSS209</t>
  </si>
  <si>
    <t>Family</t>
  </si>
  <si>
    <t>BlindTest</t>
  </si>
  <si>
    <t>B2,lines</t>
  </si>
  <si>
    <t>A1,lines</t>
  </si>
  <si>
    <t>February2023</t>
  </si>
  <si>
    <t>1.CarbamazepineFamily/Oxcarbazepine</t>
  </si>
  <si>
    <t>1.CarbamazepineFamily/Carbamazepine</t>
  </si>
  <si>
    <t>1.CarbamazepineFamily/Dihydrocarbamazepine</t>
  </si>
  <si>
    <t>A1,B1,lines</t>
  </si>
  <si>
    <t>1.CarbamazepineFamily/Cytenamide</t>
  </si>
  <si>
    <t>1.CarbamazepineFamily/Cyheptamide</t>
  </si>
  <si>
    <t>C10 H10 N3 O3 S1 - . C4 H10 N1 O1 +</t>
  </si>
  <si>
    <t>May2024</t>
  </si>
  <si>
    <t>January2024</t>
  </si>
  <si>
    <t>A2,B3,lines</t>
  </si>
  <si>
    <t>A3,A4,lines</t>
  </si>
  <si>
    <t>June2024</t>
  </si>
  <si>
    <t>Saccharin</t>
  </si>
  <si>
    <t>A1,A2,A3,lines</t>
  </si>
  <si>
    <t>1.FenamateFamily/FlufenamicAcid</t>
  </si>
  <si>
    <t>1.FenamateFamily/FenamicAcid</t>
  </si>
  <si>
    <t>November2024</t>
  </si>
  <si>
    <t>A1,A2,lines</t>
  </si>
  <si>
    <t>March2023</t>
  </si>
  <si>
    <t>A2,A3,A4,lines</t>
  </si>
  <si>
    <t>1.FenamateFamily/MefenamicAcid</t>
  </si>
  <si>
    <t>1.FenamateFamily/NiflumicAcid</t>
  </si>
  <si>
    <t>1.FenamateFamily/TolfenamicAcid</t>
  </si>
  <si>
    <t>A2,B2,B3,lines</t>
  </si>
  <si>
    <t>1.Cocrystals/CaffeineParacetamol</t>
  </si>
  <si>
    <t>1.Cocrystals/Caffeine4HBA</t>
  </si>
  <si>
    <t>1.Cocrystals/Dicyanobenzene-Succinic</t>
  </si>
  <si>
    <t>1.Cocrystals/Bipy-Aminobenzoic</t>
  </si>
  <si>
    <t>1.Cocrystals/Bipy-Succinic</t>
  </si>
  <si>
    <t>1.Cocrystals/Bipy-2Aminobenzoic</t>
  </si>
  <si>
    <t>1.Cocrystals/Caffeine3HBA</t>
  </si>
  <si>
    <t>1.Cocrystals/Caffeinebis4HBA</t>
  </si>
  <si>
    <t>1.Cocrystals/CarbamazepinePicolinamide</t>
  </si>
  <si>
    <t>1.Cocrystals/Nitrophenyl-Aminobenzoic</t>
  </si>
  <si>
    <t>1.DiChloroNitroBenzene/26-dichloronitrobenzene</t>
  </si>
  <si>
    <t>1.DiChloroNitroBenzene/24-dichloronitrobenzene</t>
  </si>
  <si>
    <t>1.DiChloroNitroBenzene/35-dichloronitrobenzene</t>
  </si>
  <si>
    <t>1.DiChloroNitroBenzene/23-dichloronitrobenzene</t>
  </si>
  <si>
    <t>1.DiChloroNitroBenzene/34-dichloronitrobenzene</t>
  </si>
  <si>
    <t>1.DiChloroNitroBenzene/25-dichloronitrobenzene</t>
  </si>
  <si>
    <t>1.Fluoroisatins/7fluoroisatin</t>
  </si>
  <si>
    <t>1.Fluoroisatins/5fluoroisatin</t>
  </si>
  <si>
    <t>1.Fluorotoluenes/4-fluorotoluene</t>
  </si>
  <si>
    <t>1.Fluorotoluenes/2-fluorotoluene</t>
  </si>
  <si>
    <t>1.Fluorotoluenes/3-fluorotoluene</t>
  </si>
  <si>
    <t>1.FOX7/FOX7</t>
  </si>
  <si>
    <t>1.FOX7/TransFOX7</t>
  </si>
  <si>
    <t>Carbamazepine.Picolinamide.cocrystal</t>
  </si>
  <si>
    <t>Bipyridine.bis.Aminobenzoic.Acid.cocrystal</t>
  </si>
  <si>
    <t>Bipyridine.Succinic.Acid.cocrystal</t>
  </si>
  <si>
    <t>Caffeine.3-Hydroxybenzoic.Acid.cocrystal</t>
  </si>
  <si>
    <t>Caffeine.bis.4-Hydroxybenzoic.Acid.cocrystal</t>
  </si>
  <si>
    <t>Caffeine.4-Hydroxybenzoic.Acid.cocrystal</t>
  </si>
  <si>
    <t>7-fluoroisatin</t>
  </si>
  <si>
    <t>Nitrophenylacetic.Acid.Aminobenzoic.Acid.cocrystal</t>
  </si>
  <si>
    <t>Caffeine.Paracetamol.cocrystal</t>
  </si>
  <si>
    <t>Dicyanobenzene.Succinic.Acid.cocrystal</t>
  </si>
  <si>
    <t>Bipyridine.Aminobenzoic.Acid.cocrystal</t>
  </si>
  <si>
    <t>5-fluoroisatin</t>
  </si>
  <si>
    <t>Caffeine.Salicylic.Acid.cocrystal</t>
  </si>
  <si>
    <t>A1,B3</t>
  </si>
  <si>
    <t>Dichloronitrobenzene</t>
  </si>
  <si>
    <t>Dichloronitrobenzene;NotCrystallized</t>
  </si>
  <si>
    <t>January2005</t>
  </si>
  <si>
    <t>NotCrystallized</t>
  </si>
  <si>
    <t>December2024</t>
  </si>
  <si>
    <t>Bipyridine</t>
  </si>
  <si>
    <t>Dicyanobenzene</t>
  </si>
  <si>
    <t>SuccinicAcid</t>
  </si>
  <si>
    <t>May2026</t>
  </si>
  <si>
    <t>CaffeineSalicylicAcid_A1</t>
  </si>
  <si>
    <t>1.Cocrystals/CaffeineSalicylicAcid</t>
  </si>
  <si>
    <t>A1,B1,C1</t>
  </si>
  <si>
    <t>1.SaltOrCocrystal/4cyanopyridinium4fluorobenzoate</t>
  </si>
  <si>
    <t>1.SaltOrCocrystal/4dimethylaminopyridinemaleicacid</t>
  </si>
  <si>
    <t>1.SaltOrCocrystal/4cyanopyridine4fluorobenzoicacid</t>
  </si>
  <si>
    <t>1.SaltOrCocrystal/4dimethylaminopyridiniummaleate</t>
  </si>
  <si>
    <t>1.SaltOrCocrystal/pyridineisophthalicacid</t>
  </si>
  <si>
    <t>1.SaltOrCocrystal/pyridiniumisophthalate</t>
  </si>
  <si>
    <t>Pyridinium.Isophthalate</t>
  </si>
  <si>
    <t>Pyridine.Isophthalic.Acid</t>
  </si>
  <si>
    <t>4-Dimethyl.Amino.Pyridinium.Maleate</t>
  </si>
  <si>
    <t>4-Dimethyl.Amino.Pyridine.Maleic.Acid</t>
  </si>
  <si>
    <t>4-Cyano.Pyridinium.4-Fluorobenzoate</t>
  </si>
  <si>
    <t>4-Cyano.Pyridine.4-Fluorobenzoic.Acid</t>
  </si>
  <si>
    <t>Succinic.Acid</t>
  </si>
  <si>
    <t>A2,D1</t>
  </si>
  <si>
    <t>1.SubstitutedNitroBenzoicAcids/4C2NBA</t>
  </si>
  <si>
    <t>1.SubstitutedNitroBenzoicAcids/2C5NBA</t>
  </si>
  <si>
    <t>1.SubstitutedNitroBenzoicAcids/2C5NBAMH</t>
  </si>
  <si>
    <t>1.SubstitutedNitroBenzoicAcids/4C2NBAMH</t>
  </si>
  <si>
    <t>1.SubstitutedNitroBenzoicAcids/2C4NBAMH</t>
  </si>
  <si>
    <t>1.SubstitutedNitroBenzoicAcids/2M4NBAMH</t>
  </si>
  <si>
    <t>1.SubstitutedNitroBenzoicAcids/2H4NBAMH</t>
  </si>
  <si>
    <t>1.SubstitutedNitroBenzoicAcids/2M4NBA</t>
  </si>
  <si>
    <t>1.SubstitutedNitroBenzoicAcids/5C2NBA</t>
  </si>
  <si>
    <t>1.SubstitutedNitroBenzoicAcids/2H4NBA</t>
  </si>
  <si>
    <t>1.SubstitutedNitroBenzoicAcids/2C4NBA</t>
  </si>
  <si>
    <t>4-Chloro-2-Nitrobenzoic.Acid</t>
  </si>
  <si>
    <t>2-Chloro-5-Nitrobenzoic.Acid.Monohydrate</t>
  </si>
  <si>
    <t>2-Chloro-5-Nitrobenzoic.Acid</t>
  </si>
  <si>
    <t>4-Chloro-2-Nitrobenzoic.Acid.Monohydrate</t>
  </si>
  <si>
    <t>2-Hydroxy-4-Nitrobenzoic.Acid.Monohydrate</t>
  </si>
  <si>
    <t>2-Methyl-4-Nitrobenzoic.Acid.Monohydrate</t>
  </si>
  <si>
    <t>2-Chloro-4-Nitrobenzoic.Acid.Monohydrate</t>
  </si>
  <si>
    <t>2-Methyl-4-Nitrobenzoic.Acid</t>
  </si>
  <si>
    <t>2-Hydroxy-4-Nitrobenzoic.Acid</t>
  </si>
  <si>
    <t>5-Chloro-2-Nitrobenzoic.Acid</t>
  </si>
  <si>
    <t>2-Chloro-4-Nitrobenzoic.Acid</t>
  </si>
  <si>
    <t>1.Uracils/5ethyluracil</t>
  </si>
  <si>
    <t>1.Uracils/5cyanouracil</t>
  </si>
  <si>
    <t>1.Uracils/5chlorouracil</t>
  </si>
  <si>
    <t>1.Uracils/5eniluracil</t>
  </si>
  <si>
    <t>5-Chlorouracil</t>
  </si>
  <si>
    <t>5-Cyanouracil</t>
  </si>
  <si>
    <t>5-Eniluracil</t>
  </si>
  <si>
    <t>1.Uracils/Formyluracil</t>
  </si>
  <si>
    <t>1.Uracils/5nitrouracil</t>
  </si>
  <si>
    <t>5-Nitrouracil</t>
  </si>
  <si>
    <t>1.Uracils/IsobarbituricAcid</t>
  </si>
  <si>
    <t>1.Uracils/Thymine</t>
  </si>
  <si>
    <t>1.Uracils/5vinyluracil</t>
  </si>
  <si>
    <t>1.Uracils/Uracil</t>
  </si>
  <si>
    <t>5-Vinyluracil</t>
  </si>
  <si>
    <t>1.Uracils/5aminouracil</t>
  </si>
  <si>
    <t>5-Aminouracil</t>
  </si>
  <si>
    <t>BlindTest;NotCrystallized</t>
  </si>
  <si>
    <t>1.Xylenes/P-Xylene</t>
  </si>
  <si>
    <t>1.Xylenes/O-Xylene</t>
  </si>
  <si>
    <t>1.Xylenes/M-Xylene</t>
  </si>
  <si>
    <t>2-fluoroethynylbenzene_A1</t>
  </si>
  <si>
    <t>Fluoroethynylbenzene</t>
  </si>
  <si>
    <t>January2025</t>
  </si>
  <si>
    <t>2-Fluoro.Ethynyl.Benzene</t>
  </si>
  <si>
    <t>BarbituricAcid</t>
  </si>
  <si>
    <t>Barbituric.Acid</t>
  </si>
  <si>
    <t>GentisicAcid</t>
  </si>
  <si>
    <t>Lactide</t>
  </si>
  <si>
    <t>GSK269984B</t>
  </si>
  <si>
    <t>GentisicAcid/GentisicAcid</t>
  </si>
  <si>
    <t>GentisicAcid/GentisicAcidHH</t>
  </si>
  <si>
    <t>GentisicAcid/GentisicAcidMH</t>
  </si>
  <si>
    <t>GentisicAcid/GentisicAcidDH</t>
  </si>
  <si>
    <t>C2</t>
  </si>
  <si>
    <t>NAcetylDibenzazepine</t>
  </si>
  <si>
    <t>Deazauracil</t>
  </si>
  <si>
    <t>CarbonicAcid</t>
  </si>
  <si>
    <t>Trinitrodibenzopyranone</t>
  </si>
  <si>
    <t>DiaminoDinitroPyrazine</t>
  </si>
  <si>
    <t>ChlorobenzoicAcid</t>
  </si>
  <si>
    <t>Chloroform</t>
  </si>
  <si>
    <t>Carbonic.Acid</t>
  </si>
  <si>
    <t>6-Methyluracil</t>
  </si>
  <si>
    <t>Methyluracil</t>
  </si>
  <si>
    <t>CyanuricAcid</t>
  </si>
  <si>
    <t>Dichloromethane</t>
  </si>
  <si>
    <t>Dehydroproline</t>
  </si>
  <si>
    <t>Galunisertib</t>
  </si>
  <si>
    <t>2-Chlorobenzoic.Acid</t>
  </si>
  <si>
    <t>Methyl-p-hydroxybenzoate</t>
  </si>
  <si>
    <t>7-Hydroxycoumarin</t>
  </si>
  <si>
    <t>Cyanuric.Acid</t>
  </si>
  <si>
    <t>6-Methoxycoumarin</t>
  </si>
  <si>
    <t>Dinitrochlorobenzene</t>
  </si>
  <si>
    <t>3,4-dinitrochlorobenzene</t>
  </si>
  <si>
    <t>Hydroxycoumarin/7Hydroxycoumarin</t>
  </si>
  <si>
    <t>May2025</t>
  </si>
  <si>
    <t>Hydroxycoumarin/4Hydroxycoumarin</t>
  </si>
  <si>
    <t>Methoxycoumarin</t>
  </si>
  <si>
    <t>Methyl-p-hydroxybenzoate_A1</t>
  </si>
  <si>
    <t>Gentisic.Acid.Hemihydrate</t>
  </si>
  <si>
    <t>Gentisic.Acid.Dihydrate</t>
  </si>
  <si>
    <t>Gentisic.Acid.Monohydrate</t>
  </si>
  <si>
    <t>5-Azauracil.Monohydrate</t>
  </si>
  <si>
    <t>5-Fluorocytosine</t>
  </si>
  <si>
    <t>Parabanic.Acid</t>
  </si>
  <si>
    <t>Phlorogluninol.Dihydrate</t>
  </si>
  <si>
    <t>beta-Resorcylic.Acid.Hemihydrate</t>
  </si>
  <si>
    <t>Tetrolic.Acid</t>
  </si>
  <si>
    <t>Diamino.Dinitro.Pyridine.Oxide</t>
  </si>
  <si>
    <t>Bromo.Amino.Benzoic.Acid</t>
  </si>
  <si>
    <t>A-Mebendazole</t>
  </si>
  <si>
    <t>beta-Resorcylic.Acid.Dihydrate</t>
  </si>
  <si>
    <t>beta-Resorcylic.Acid.Monohydrate</t>
  </si>
  <si>
    <t>Gallic.Acid</t>
  </si>
  <si>
    <t>Tetrazol.Pyrazine</t>
  </si>
  <si>
    <t>Tetrazol.Pyrimidine</t>
  </si>
  <si>
    <t>Dihydro.Dibenzo.Cycloheptenyl.Ethanone</t>
  </si>
  <si>
    <t>Dibenzo.Cycloheptenyl.Ethanone</t>
  </si>
  <si>
    <t>February2025</t>
  </si>
  <si>
    <t>A1,B1,B2</t>
  </si>
  <si>
    <t>LY2806920/LY2806920HCl</t>
  </si>
  <si>
    <t>LY2806920/LY2806920</t>
  </si>
  <si>
    <t>HEBZAS</t>
  </si>
  <si>
    <t>LY2624803</t>
  </si>
  <si>
    <t>Hydroxymethyloxazolidinone</t>
  </si>
  <si>
    <t>Amantadine.Hydrochloride</t>
  </si>
  <si>
    <t>AmantadineHydrochloride</t>
  </si>
  <si>
    <t>Glucose</t>
  </si>
  <si>
    <t>Chlorodibenzosuberone</t>
  </si>
  <si>
    <t>Isocytosine</t>
  </si>
  <si>
    <t>Isocaffeine</t>
  </si>
  <si>
    <t>Chloro-Dibenzosuberenone.Piperidine.Derivative</t>
  </si>
  <si>
    <t>A1,A2</t>
  </si>
  <si>
    <t>Azauracil/5AzauracilMonohydrate</t>
  </si>
  <si>
    <t>Azauracil/5Azauracil</t>
  </si>
  <si>
    <t>IJUMEG</t>
  </si>
  <si>
    <t>\CHEMISTRY_CPOSS\adenine_new</t>
  </si>
  <si>
    <t>November2025</t>
  </si>
  <si>
    <t>A1,C1</t>
  </si>
  <si>
    <t>OroticAcid</t>
  </si>
  <si>
    <t>Orotic.Acid</t>
  </si>
  <si>
    <t>ParabanicAcid</t>
  </si>
  <si>
    <t>Phloroglucinol/PhloroglucinolDihydrate</t>
  </si>
  <si>
    <t>Phloroglucinol/Phloroglucinol</t>
  </si>
  <si>
    <t>Pyridone</t>
  </si>
  <si>
    <t>TetrolicAcid</t>
  </si>
  <si>
    <t>DiaminoDinitroPyridineOxide</t>
  </si>
  <si>
    <t>Oxauracil</t>
  </si>
  <si>
    <t>BetaResorcylicAcidHydrates/bResorcylicAcidHemihydrate</t>
  </si>
  <si>
    <t>BetaResorcylicAcidHydrates/bResorcylicAcidMonohydrate</t>
  </si>
  <si>
    <t>BetaResorcylicAcidHydrates/bResorcylicAcidDihydrate</t>
  </si>
  <si>
    <t>A4</t>
  </si>
  <si>
    <t>NitrophenylAceticAcid_A3</t>
  </si>
  <si>
    <t>NitrophenylAceticAcid</t>
  </si>
  <si>
    <t>Nitrophenyl.Acetic.Acid</t>
  </si>
  <si>
    <t>C-Mebendazole</t>
  </si>
  <si>
    <t>BenzylTetrazole</t>
  </si>
  <si>
    <t>Benzyl.Tetrazole</t>
  </si>
  <si>
    <t>EphedriniumTartrate</t>
  </si>
  <si>
    <t>Ephedrinium.Tartrate</t>
  </si>
  <si>
    <t>Uric.Acid</t>
  </si>
  <si>
    <t>MemantineHydrochloride</t>
  </si>
  <si>
    <t>Memantine.Hydrochloride</t>
  </si>
  <si>
    <t>TetrahydroDimethylQuinoline</t>
  </si>
  <si>
    <t>Tetrahydro.Dimethyl.Quinoline</t>
  </si>
  <si>
    <t>ChloromandelicAcid</t>
  </si>
  <si>
    <t>BromoAminoBenzoicAcid</t>
  </si>
  <si>
    <t>Mebendazole/AMebendazole</t>
  </si>
  <si>
    <t>Mebendazole/CMebendazole</t>
  </si>
  <si>
    <t>3-Chloromandelic.Acid</t>
  </si>
  <si>
    <t>Estradiol</t>
  </si>
  <si>
    <t>GallicAcid</t>
  </si>
  <si>
    <t>TetrazolPyrazine</t>
  </si>
  <si>
    <t>TetrazolPyrimidine</t>
  </si>
  <si>
    <t>DihydroDibenzoCycloheptenylEthanone</t>
  </si>
  <si>
    <t>DibenzoCycloheptenylEthanone</t>
  </si>
  <si>
    <t>Methylazetidineone</t>
  </si>
  <si>
    <t>UricAcid</t>
  </si>
  <si>
    <t>Studies</t>
  </si>
  <si>
    <t>Searches</t>
  </si>
  <si>
    <t>PhloroglucinolDihydrate_A2</t>
  </si>
  <si>
    <t>PhloroglucinolDihydrate_A1</t>
  </si>
  <si>
    <t>PaperSI</t>
  </si>
  <si>
    <t>C15 H12 N2 O1 . C6 H6 N2 O1</t>
  </si>
  <si>
    <t>C4 H6 O4</t>
  </si>
  <si>
    <t>A3,B1,lines</t>
  </si>
  <si>
    <t>2-fluoroethynylbenzene_A2</t>
  </si>
  <si>
    <t>BTXII</t>
  </si>
  <si>
    <t>2fluorobenzamide</t>
  </si>
  <si>
    <t>5ethyluracil</t>
  </si>
  <si>
    <t>5cyanouracil</t>
  </si>
  <si>
    <t>Azabicyclononanedione</t>
  </si>
  <si>
    <t>NAcetyldibenzazepine</t>
  </si>
  <si>
    <t>2bromobenzamide</t>
  </si>
  <si>
    <t>34-dichloronitrobenzene</t>
  </si>
  <si>
    <t>Oxcarbazepine</t>
  </si>
  <si>
    <t>6methyluracil</t>
  </si>
  <si>
    <t>2chlorobenzamide</t>
  </si>
  <si>
    <t>4C2NBA</t>
  </si>
  <si>
    <t>2C5NBA</t>
  </si>
  <si>
    <t>5chlorouracil</t>
  </si>
  <si>
    <t>6methoxycoumarin</t>
  </si>
  <si>
    <t>34-dinitrochlorobenzene</t>
  </si>
  <si>
    <t>7hydroxycoumarin</t>
  </si>
  <si>
    <t>5eniluracil</t>
  </si>
  <si>
    <t>23-dichloronitrobenzene</t>
  </si>
  <si>
    <t>BTXXIX</t>
  </si>
  <si>
    <t>LY2806920</t>
  </si>
  <si>
    <t>FlufenamicAcid</t>
  </si>
  <si>
    <t>Formyluracil</t>
  </si>
  <si>
    <t>35-dichloronitrobenzene</t>
  </si>
  <si>
    <t>BTXXXII</t>
  </si>
  <si>
    <t>24-dichloronitrobenzene</t>
  </si>
  <si>
    <t>TolfenamicAcid</t>
  </si>
  <si>
    <t>5fluorocytosine</t>
  </si>
  <si>
    <t>BTXXII</t>
  </si>
  <si>
    <t>NiflumicAcid</t>
  </si>
  <si>
    <t>5nitrouracil</t>
  </si>
  <si>
    <t>7fluoroisatin</t>
  </si>
  <si>
    <t>BTXVIII</t>
  </si>
  <si>
    <t>BTXX</t>
  </si>
  <si>
    <t>BTXVII</t>
  </si>
  <si>
    <t>BTXVI</t>
  </si>
  <si>
    <t>BTXXVIII</t>
  </si>
  <si>
    <t>OtolicAcid</t>
  </si>
  <si>
    <t>BTVIII</t>
  </si>
  <si>
    <t>3Oxauracil</t>
  </si>
  <si>
    <t>IsobarbituricAcid</t>
  </si>
  <si>
    <t>FenamicAcid</t>
  </si>
  <si>
    <t>2M4NBA</t>
  </si>
  <si>
    <t>2H4NBA</t>
  </si>
  <si>
    <t>5C2NBA</t>
  </si>
  <si>
    <t>FOX7</t>
  </si>
  <si>
    <t>BTXIII</t>
  </si>
  <si>
    <t>TransFOX7</t>
  </si>
  <si>
    <t>3aminobenzamide</t>
  </si>
  <si>
    <t>5aminouracil</t>
  </si>
  <si>
    <t>4Hydroxycoumarin</t>
  </si>
  <si>
    <t>26-dichloronitrobenzene</t>
  </si>
  <si>
    <t>5vinyluracil</t>
  </si>
  <si>
    <t>Dihydrocarbamazepine</t>
  </si>
  <si>
    <t>2C4NBA</t>
  </si>
  <si>
    <t>BTXV</t>
  </si>
  <si>
    <t>BTXIV</t>
  </si>
  <si>
    <t>5fluoroisatin</t>
  </si>
  <si>
    <t>BXXIII</t>
  </si>
  <si>
    <t>BTXXVC</t>
  </si>
  <si>
    <t>BTXXVI</t>
  </si>
  <si>
    <t>BTXXIV</t>
  </si>
  <si>
    <t>AminoPyrimidine</t>
  </si>
  <si>
    <t>BTXIX</t>
  </si>
  <si>
    <t>Diiodoanthanthrone</t>
  </si>
  <si>
    <t>5Azauracil</t>
  </si>
  <si>
    <t>XXVII</t>
  </si>
  <si>
    <t>MefenamicAcid</t>
  </si>
  <si>
    <t>XXXIII</t>
  </si>
  <si>
    <t>BTXXXI</t>
  </si>
  <si>
    <t>25-dichloronitrobenzene</t>
  </si>
  <si>
    <t>P-Xylene</t>
  </si>
  <si>
    <t>O-Xylene</t>
  </si>
  <si>
    <t>M-Xylene</t>
  </si>
  <si>
    <t>4-AminobenzoicAcid</t>
  </si>
  <si>
    <t>4-Aminobenzamide</t>
  </si>
  <si>
    <t>Picolinamide</t>
  </si>
  <si>
    <t>2-AminobenzoicAcid</t>
  </si>
  <si>
    <t>Amantadine</t>
  </si>
  <si>
    <t>4Dimethylaminopyridine</t>
  </si>
  <si>
    <t>MaleicAcid</t>
  </si>
  <si>
    <t>IsophthalicAcid</t>
  </si>
  <si>
    <t>3-HydroxybenzoicAcid</t>
  </si>
  <si>
    <t>4-HydroxybenzoicAcid</t>
  </si>
  <si>
    <t>bResorcylicAcid</t>
  </si>
  <si>
    <t>Quinoline</t>
  </si>
  <si>
    <t>FumaricAcid</t>
  </si>
  <si>
    <t>4-CyanoPyridine</t>
  </si>
  <si>
    <t>4-FluorobenzoicAcid</t>
  </si>
  <si>
    <t>Memantine</t>
  </si>
  <si>
    <t>Ephedrine</t>
  </si>
  <si>
    <t>TartaricAcid</t>
  </si>
  <si>
    <t>SalicylicAcid</t>
  </si>
  <si>
    <t>Mebendazole</t>
  </si>
  <si>
    <t>2-Aminobenzamide</t>
  </si>
  <si>
    <t>2-ChlorobenzoicAcid</t>
  </si>
  <si>
    <t>TricyclicCycloheptane</t>
  </si>
  <si>
    <t>CPOSS209;TricyclicCycloheptane</t>
  </si>
  <si>
    <t>NotCrystallized;TricyclicCycloheptane</t>
  </si>
  <si>
    <t>Polyzois, H.; Guo, R.; Srirambhatla, V. K.; Warzecha, M.; Prasad, E.; Turner, A.; Halbert, G. W.; Keating, P.; Price, S. L.; Florence, A. J. Crystal Structure and Twisted Aggregates of Oxcarbazepine Form III. Crystal Growth &amp; Design 2022. 22 (7), 4146-4156.</t>
  </si>
  <si>
    <t>Polyzois, H.; Guo, R.; Srirambhatla, V. K.; Warzecha, M.; Prasad, E.; Turner, A.; Halbert, G. W.; Keating, P.; Price, S. L.; Florence, A. J. Crystal Structure and Twisted Aggregates of Oxcarbazepine Form III. Crystal Growth &amp; Design 2022. 22 (7), 4146-415</t>
  </si>
  <si>
    <t>Hulme AT, Price SL, Tocher DA 2005. J Am Chem Soc 127(4) 1116-7 # Barnett SA, Hulme AT, Issa N, Lewis TC, Price LS, Tocher DA, Price SL 2008. New J Chem 32, 1761-1775.</t>
  </si>
  <si>
    <t>Lewis, T. C., Tocher, D. A., Price, S. L., Crystal Growth and Design, 4(5), 979-987 (2004) # Lewis, T. C., Tocher, D. A., Price, S. L., Cryst. Growth Des., 5(3), 983-993 (2005)</t>
  </si>
  <si>
    <t>Habgood M, Price SL, Portalone G, Irrera S, J Chem Theory Comput, 2011, 7(9), 2685-2688.</t>
  </si>
  <si>
    <t>WADCOY</t>
  </si>
  <si>
    <t>August2026</t>
  </si>
  <si>
    <t>JAVRIM</t>
  </si>
  <si>
    <t>C26 H22 N2 Cl2 Cu1</t>
  </si>
  <si>
    <t>Barnett SA, Hulme AT, Issa N, Lewis TC, Price LS, Tocher DA, Price SL 2008. New J Chem 32 1761-1775. # Watts TA, Price LS, Price SL, Niederberger SM, Bertke JA, Swift JA 2021. Isr J Chem 61 (9-10) 590-597.</t>
  </si>
  <si>
    <t>being added to CSD version 6.01</t>
  </si>
  <si>
    <t>C8 H4 O2 . C5 H7 N3</t>
  </si>
  <si>
    <t>C4 H7 N2 O2 S1 + . Cl - . H2 O1</t>
  </si>
  <si>
    <t>C8 H4 N2 . C4 H6 O4</t>
  </si>
  <si>
    <t>C7 H6 N1 O1 F1</t>
  </si>
  <si>
    <t>C7 H5 N1 O4</t>
  </si>
  <si>
    <t>C10 H8 N2 . C7 H7 N1 O2 . C7 H7 N1 O2</t>
  </si>
  <si>
    <t>C10 H8 N2 . C7 H7 N1 O2</t>
  </si>
  <si>
    <t>C9 H8 N1 + . C4 H4 O3 -</t>
  </si>
  <si>
    <t>C10 H16 N1 O1 + . C4 H5 O6 -</t>
  </si>
  <si>
    <t>C10 H18 N1 + . Cl1 -</t>
  </si>
  <si>
    <t>C12 H22 N1 + . Cl1 -</t>
  </si>
  <si>
    <t>N-Acetyldibenzazepine</t>
  </si>
  <si>
    <t>Mefenamic.Acid</t>
  </si>
  <si>
    <t>Tolfenamic.Acid</t>
  </si>
  <si>
    <t>2,4-dichloronitrobenzene</t>
  </si>
  <si>
    <t>Flufenamic.Acid</t>
  </si>
  <si>
    <t>Niflumic.Acid</t>
  </si>
  <si>
    <t>Fenamic.Acid</t>
  </si>
  <si>
    <t>4-Hydroxycoumarin</t>
  </si>
  <si>
    <t>Gentisic.Acid</t>
  </si>
  <si>
    <t>3,4-dichloronitrobenzene</t>
  </si>
  <si>
    <t>2,3-dichloronitrobenzene</t>
  </si>
  <si>
    <t>3,5-dichloronitrobenzene</t>
  </si>
  <si>
    <t>2,6-dichloronitrobenzene</t>
  </si>
  <si>
    <t>2,5-dichloronitrobenzene</t>
  </si>
  <si>
    <t>2,6-Diamino-3,5-Dinitro.Pyrazine</t>
  </si>
  <si>
    <t>Isobarbituric.Acid</t>
  </si>
  <si>
    <t>5-Azauracil</t>
  </si>
  <si>
    <t>Trans.FOX7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</si>
</sst>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18" fillId="0" borderId="0" xfId="42" applyBorder="1" applyAlignment="1">
      <alignment vertical="center"/>
    </xf>
    <xf numFmtId="0" fontId="18" fillId="0" borderId="0" xfId="42" applyBorder="1"/>
    <xf numFmtId="17" fontId="0" fillId="0" borderId="0" xfId="0" applyNumberFormat="1"/>
    <xf numFmtId="0" fontId="19" fillId="0" borderId="0" xfId="0" applyFont="1"/>
    <xf numFmtId="0" fontId="0" fillId="0" borderId="0" xfId="0" quotePrefix="1"/>
    <xf numFmtId="0" fontId="19" fillId="0" borderId="0" xfId="0" quotePrefix="1" applyFont="1"/>
    <xf numFmtId="0" fontId="19" fillId="33" borderId="0" xfId="0" applyFont="1" applyFill="1"/>
    <xf numFmtId="0" fontId="0" fillId="33" borderId="0" xfId="0" applyFill="1"/>
    <xf numFmtId="14" fontId="0" fillId="0" borderId="0" xfId="0" quotePrefix="1" applyNumberFormat="1"/>
    <xf numFmtId="16" fontId="0" fillId="0" borderId="0" xfId="0" applyNumberFormat="1"/>
    <xf numFmtId="14" fontId="19" fillId="0" borderId="0" xfId="0" quotePrefix="1" applyNumberFormat="1" applyFont="1"/>
    <xf numFmtId="0" fontId="18" fillId="33" borderId="0" xfId="42" applyFill="1" applyBorder="1"/>
    <xf numFmtId="0" fontId="18" fillId="0" borderId="0" xfId="42"/>
    <xf numFmtId="0" fontId="0" fillId="34" borderId="0" xfId="0" applyFill="1"/>
    <xf numFmtId="49" fontId="0" fillId="0" borderId="0" xfId="0" applyNumberFormat="1"/>
    <xf numFmtId="49" fontId="19" fillId="0" borderId="0" xfId="0" applyNumberFormat="1" applyFont="1"/>
    <xf numFmtId="0" fontId="7" fillId="3" borderId="0" xfId="7"/>
    <xf numFmtId="49" fontId="7" fillId="3" borderId="0" xfId="7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4" xr:uid="{00000000-0005-0000-0000-000022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3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9B9B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9B9B"/>
        </patternFill>
      </fill>
    </dxf>
    <dxf>
      <font>
        <color rgb="FFC00000"/>
      </font>
      <fill>
        <patternFill>
          <bgColor rgb="FFFF9B9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9B9B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9B9B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9B9B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9B9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9B9B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9B9B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9B9B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Progress!$D$1</c:f>
              <c:strCache>
                <c:ptCount val="1"/>
                <c:pt idx="0">
                  <c:v>Running 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Progress!$B$2:$B$225</c:f>
              <c:strCache>
                <c:ptCount val="78"/>
                <c:pt idx="0">
                  <c:v>28/10/2024</c:v>
                </c:pt>
                <c:pt idx="1">
                  <c:v>04/11/2024</c:v>
                </c:pt>
                <c:pt idx="2">
                  <c:v>11/11/2024</c:v>
                </c:pt>
                <c:pt idx="3">
                  <c:v>18/11/2024</c:v>
                </c:pt>
                <c:pt idx="4">
                  <c:v>25/11/2024</c:v>
                </c:pt>
                <c:pt idx="5">
                  <c:v>02/12/2024</c:v>
                </c:pt>
                <c:pt idx="6">
                  <c:v>09/12/2024</c:v>
                </c:pt>
                <c:pt idx="7">
                  <c:v>16/12/2024</c:v>
                </c:pt>
                <c:pt idx="8">
                  <c:v>06/01/2025</c:v>
                </c:pt>
                <c:pt idx="9">
                  <c:v>13/01/2025</c:v>
                </c:pt>
                <c:pt idx="10">
                  <c:v>20/01/2025</c:v>
                </c:pt>
                <c:pt idx="11">
                  <c:v>27/01/2025</c:v>
                </c:pt>
                <c:pt idx="12">
                  <c:v>03/02/2025</c:v>
                </c:pt>
                <c:pt idx="13">
                  <c:v>10/02/2025</c:v>
                </c:pt>
                <c:pt idx="14">
                  <c:v>17/02/2025</c:v>
                </c:pt>
                <c:pt idx="15">
                  <c:v>24/02/2025</c:v>
                </c:pt>
                <c:pt idx="16">
                  <c:v>03/03/2025</c:v>
                </c:pt>
                <c:pt idx="17">
                  <c:v>10/03/2025</c:v>
                </c:pt>
                <c:pt idx="18">
                  <c:v>17/03/2025</c:v>
                </c:pt>
                <c:pt idx="19">
                  <c:v>24/03/2025</c:v>
                </c:pt>
                <c:pt idx="20">
                  <c:v>31/03/2025</c:v>
                </c:pt>
                <c:pt idx="21">
                  <c:v>07/04/2025</c:v>
                </c:pt>
                <c:pt idx="22">
                  <c:v>21/04/2025</c:v>
                </c:pt>
                <c:pt idx="23">
                  <c:v>28/04/2025</c:v>
                </c:pt>
                <c:pt idx="24">
                  <c:v>05/05/2025</c:v>
                </c:pt>
                <c:pt idx="25">
                  <c:v>12/05/2025</c:v>
                </c:pt>
                <c:pt idx="26">
                  <c:v>19/05/2025</c:v>
                </c:pt>
                <c:pt idx="27">
                  <c:v>26/05/2025</c:v>
                </c:pt>
                <c:pt idx="28">
                  <c:v>02/06/2025</c:v>
                </c:pt>
                <c:pt idx="29">
                  <c:v>09/06/2025</c:v>
                </c:pt>
                <c:pt idx="30">
                  <c:v>16/06/2025</c:v>
                </c:pt>
                <c:pt idx="31">
                  <c:v>23/06/2025</c:v>
                </c:pt>
                <c:pt idx="32">
                  <c:v>30/06/2025</c:v>
                </c:pt>
                <c:pt idx="33">
                  <c:v>07/07/2025</c:v>
                </c:pt>
                <c:pt idx="34">
                  <c:v>14/07/2025</c:v>
                </c:pt>
                <c:pt idx="35">
                  <c:v>21/07/2025</c:v>
                </c:pt>
                <c:pt idx="36">
                  <c:v>28/07/2025</c:v>
                </c:pt>
                <c:pt idx="37">
                  <c:v>04/08/2025</c:v>
                </c:pt>
                <c:pt idx="38">
                  <c:v>11/08/2025</c:v>
                </c:pt>
                <c:pt idx="39">
                  <c:v>01/09/2025</c:v>
                </c:pt>
                <c:pt idx="40">
                  <c:v>08/09/2025</c:v>
                </c:pt>
                <c:pt idx="41">
                  <c:v>15/09/2025</c:v>
                </c:pt>
                <c:pt idx="42">
                  <c:v>22/09/2025</c:v>
                </c:pt>
                <c:pt idx="43">
                  <c:v>29/09/2025</c:v>
                </c:pt>
                <c:pt idx="44">
                  <c:v>06/10/2025</c:v>
                </c:pt>
                <c:pt idx="45">
                  <c:v>13/10/2025</c:v>
                </c:pt>
                <c:pt idx="46">
                  <c:v>20/10/2025</c:v>
                </c:pt>
                <c:pt idx="47">
                  <c:v>27/10/2025</c:v>
                </c:pt>
                <c:pt idx="48">
                  <c:v>03/11/2025</c:v>
                </c:pt>
                <c:pt idx="49">
                  <c:v>10/11/2025</c:v>
                </c:pt>
                <c:pt idx="50">
                  <c:v>17/11/2025</c:v>
                </c:pt>
                <c:pt idx="51">
                  <c:v>24/11/2025</c:v>
                </c:pt>
                <c:pt idx="52">
                  <c:v>01/12/2025</c:v>
                </c:pt>
                <c:pt idx="53">
                  <c:v>08/12/2025</c:v>
                </c:pt>
                <c:pt idx="54">
                  <c:v>15/12/2025</c:v>
                </c:pt>
                <c:pt idx="55">
                  <c:v>05/01/2026</c:v>
                </c:pt>
                <c:pt idx="56">
                  <c:v>12/01/2026</c:v>
                </c:pt>
                <c:pt idx="57">
                  <c:v>19/01/2026</c:v>
                </c:pt>
                <c:pt idx="58">
                  <c:v>26/01/2026</c:v>
                </c:pt>
                <c:pt idx="59">
                  <c:v>02/02/2026</c:v>
                </c:pt>
                <c:pt idx="60">
                  <c:v>09/02/2026</c:v>
                </c:pt>
                <c:pt idx="61">
                  <c:v>16/02/2026</c:v>
                </c:pt>
                <c:pt idx="62">
                  <c:v>23/02/2026</c:v>
                </c:pt>
                <c:pt idx="63">
                  <c:v>02/03/2026</c:v>
                </c:pt>
                <c:pt idx="64">
                  <c:v>09/03/2026</c:v>
                </c:pt>
                <c:pt idx="65">
                  <c:v>16/03/2026</c:v>
                </c:pt>
                <c:pt idx="66">
                  <c:v>23/03/2026</c:v>
                </c:pt>
                <c:pt idx="67">
                  <c:v>30/03/2026</c:v>
                </c:pt>
                <c:pt idx="68">
                  <c:v>06/04/2026</c:v>
                </c:pt>
                <c:pt idx="69">
                  <c:v>13/04/2026</c:v>
                </c:pt>
                <c:pt idx="70">
                  <c:v>20/04/2026</c:v>
                </c:pt>
                <c:pt idx="71">
                  <c:v>27/04/2026</c:v>
                </c:pt>
                <c:pt idx="72">
                  <c:v>04/05/2026</c:v>
                </c:pt>
                <c:pt idx="73">
                  <c:v>11/05/2026</c:v>
                </c:pt>
                <c:pt idx="74">
                  <c:v>18/05/2026</c:v>
                </c:pt>
                <c:pt idx="75">
                  <c:v>25/05/2026</c:v>
                </c:pt>
                <c:pt idx="76">
                  <c:v>01/06/2026</c:v>
                </c:pt>
                <c:pt idx="77">
                  <c:v>08/06/2026</c:v>
                </c:pt>
              </c:strCache>
            </c:strRef>
          </c:cat>
          <c:val>
            <c:numRef>
              <c:f>Progress!$D$2:$D$100</c:f>
              <c:numCache>
                <c:formatCode>General</c:formatCode>
                <c:ptCount val="99"/>
                <c:pt idx="0">
                  <c:v>12</c:v>
                </c:pt>
                <c:pt idx="1">
                  <c:v>23</c:v>
                </c:pt>
                <c:pt idx="2">
                  <c:v>51</c:v>
                </c:pt>
                <c:pt idx="3">
                  <c:v>56</c:v>
                </c:pt>
                <c:pt idx="4">
                  <c:v>69</c:v>
                </c:pt>
                <c:pt idx="5">
                  <c:v>74</c:v>
                </c:pt>
                <c:pt idx="6">
                  <c:v>91</c:v>
                </c:pt>
                <c:pt idx="7">
                  <c:v>91</c:v>
                </c:pt>
                <c:pt idx="8">
                  <c:v>91</c:v>
                </c:pt>
                <c:pt idx="9">
                  <c:v>100</c:v>
                </c:pt>
                <c:pt idx="10">
                  <c:v>103</c:v>
                </c:pt>
                <c:pt idx="11">
                  <c:v>106</c:v>
                </c:pt>
                <c:pt idx="12">
                  <c:v>106</c:v>
                </c:pt>
                <c:pt idx="13">
                  <c:v>106</c:v>
                </c:pt>
                <c:pt idx="14">
                  <c:v>106</c:v>
                </c:pt>
                <c:pt idx="15">
                  <c:v>114</c:v>
                </c:pt>
                <c:pt idx="16">
                  <c:v>114</c:v>
                </c:pt>
                <c:pt idx="17">
                  <c:v>125</c:v>
                </c:pt>
                <c:pt idx="18">
                  <c:v>133</c:v>
                </c:pt>
                <c:pt idx="19">
                  <c:v>134</c:v>
                </c:pt>
                <c:pt idx="20">
                  <c:v>138</c:v>
                </c:pt>
                <c:pt idx="21">
                  <c:v>138</c:v>
                </c:pt>
                <c:pt idx="22">
                  <c:v>138</c:v>
                </c:pt>
                <c:pt idx="23">
                  <c:v>138</c:v>
                </c:pt>
                <c:pt idx="24">
                  <c:v>138</c:v>
                </c:pt>
                <c:pt idx="25">
                  <c:v>138</c:v>
                </c:pt>
                <c:pt idx="26">
                  <c:v>138</c:v>
                </c:pt>
                <c:pt idx="27">
                  <c:v>138</c:v>
                </c:pt>
                <c:pt idx="28">
                  <c:v>138</c:v>
                </c:pt>
                <c:pt idx="29">
                  <c:v>138</c:v>
                </c:pt>
                <c:pt idx="30">
                  <c:v>138</c:v>
                </c:pt>
                <c:pt idx="31">
                  <c:v>138</c:v>
                </c:pt>
                <c:pt idx="32">
                  <c:v>138</c:v>
                </c:pt>
                <c:pt idx="33">
                  <c:v>138</c:v>
                </c:pt>
                <c:pt idx="34">
                  <c:v>138</c:v>
                </c:pt>
                <c:pt idx="35">
                  <c:v>138</c:v>
                </c:pt>
                <c:pt idx="36">
                  <c:v>138</c:v>
                </c:pt>
                <c:pt idx="37">
                  <c:v>138</c:v>
                </c:pt>
                <c:pt idx="38">
                  <c:v>138</c:v>
                </c:pt>
                <c:pt idx="39">
                  <c:v>138</c:v>
                </c:pt>
                <c:pt idx="40">
                  <c:v>138</c:v>
                </c:pt>
                <c:pt idx="41">
                  <c:v>138</c:v>
                </c:pt>
                <c:pt idx="42">
                  <c:v>138</c:v>
                </c:pt>
                <c:pt idx="43">
                  <c:v>138</c:v>
                </c:pt>
                <c:pt idx="44">
                  <c:v>138</c:v>
                </c:pt>
                <c:pt idx="45">
                  <c:v>138</c:v>
                </c:pt>
                <c:pt idx="46">
                  <c:v>138</c:v>
                </c:pt>
                <c:pt idx="47">
                  <c:v>138</c:v>
                </c:pt>
                <c:pt idx="48">
                  <c:v>138</c:v>
                </c:pt>
                <c:pt idx="49">
                  <c:v>138</c:v>
                </c:pt>
                <c:pt idx="50">
                  <c:v>138</c:v>
                </c:pt>
                <c:pt idx="51">
                  <c:v>146</c:v>
                </c:pt>
                <c:pt idx="52">
                  <c:v>152</c:v>
                </c:pt>
                <c:pt idx="53">
                  <c:v>167</c:v>
                </c:pt>
                <c:pt idx="54">
                  <c:v>182</c:v>
                </c:pt>
                <c:pt idx="55">
                  <c:v>182</c:v>
                </c:pt>
                <c:pt idx="56">
                  <c:v>212</c:v>
                </c:pt>
                <c:pt idx="57">
                  <c:v>229</c:v>
                </c:pt>
                <c:pt idx="58">
                  <c:v>243</c:v>
                </c:pt>
                <c:pt idx="59">
                  <c:v>243</c:v>
                </c:pt>
                <c:pt idx="60">
                  <c:v>243</c:v>
                </c:pt>
                <c:pt idx="61">
                  <c:v>243</c:v>
                </c:pt>
                <c:pt idx="62">
                  <c:v>244</c:v>
                </c:pt>
                <c:pt idx="63">
                  <c:v>292</c:v>
                </c:pt>
                <c:pt idx="64">
                  <c:v>305</c:v>
                </c:pt>
                <c:pt idx="65">
                  <c:v>328</c:v>
                </c:pt>
                <c:pt idx="66">
                  <c:v>357</c:v>
                </c:pt>
                <c:pt idx="67">
                  <c:v>368</c:v>
                </c:pt>
                <c:pt idx="68">
                  <c:v>395</c:v>
                </c:pt>
                <c:pt idx="69">
                  <c:v>417</c:v>
                </c:pt>
                <c:pt idx="70">
                  <c:v>438</c:v>
                </c:pt>
                <c:pt idx="71">
                  <c:v>461</c:v>
                </c:pt>
                <c:pt idx="72">
                  <c:v>477</c:v>
                </c:pt>
                <c:pt idx="73">
                  <c:v>498</c:v>
                </c:pt>
                <c:pt idx="74">
                  <c:v>506</c:v>
                </c:pt>
                <c:pt idx="75">
                  <c:v>506</c:v>
                </c:pt>
                <c:pt idx="76">
                  <c:v>530</c:v>
                </c:pt>
                <c:pt idx="77">
                  <c:v>541</c:v>
                </c:pt>
                <c:pt idx="78">
                  <c:v>541</c:v>
                </c:pt>
                <c:pt idx="79">
                  <c:v>541</c:v>
                </c:pt>
                <c:pt idx="80">
                  <c:v>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A-4F55-B8A9-DF203D47B905}"/>
            </c:ext>
          </c:extLst>
        </c:ser>
        <c:ser>
          <c:idx val="1"/>
          <c:order val="1"/>
          <c:tx>
            <c:strRef>
              <c:f>Progress!$F$1</c:f>
              <c:strCache>
                <c:ptCount val="1"/>
                <c:pt idx="0">
                  <c:v>Target number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Progress!$B$2:$B$225</c:f>
              <c:strCache>
                <c:ptCount val="78"/>
                <c:pt idx="0">
                  <c:v>28/10/2024</c:v>
                </c:pt>
                <c:pt idx="1">
                  <c:v>04/11/2024</c:v>
                </c:pt>
                <c:pt idx="2">
                  <c:v>11/11/2024</c:v>
                </c:pt>
                <c:pt idx="3">
                  <c:v>18/11/2024</c:v>
                </c:pt>
                <c:pt idx="4">
                  <c:v>25/11/2024</c:v>
                </c:pt>
                <c:pt idx="5">
                  <c:v>02/12/2024</c:v>
                </c:pt>
                <c:pt idx="6">
                  <c:v>09/12/2024</c:v>
                </c:pt>
                <c:pt idx="7">
                  <c:v>16/12/2024</c:v>
                </c:pt>
                <c:pt idx="8">
                  <c:v>06/01/2025</c:v>
                </c:pt>
                <c:pt idx="9">
                  <c:v>13/01/2025</c:v>
                </c:pt>
                <c:pt idx="10">
                  <c:v>20/01/2025</c:v>
                </c:pt>
                <c:pt idx="11">
                  <c:v>27/01/2025</c:v>
                </c:pt>
                <c:pt idx="12">
                  <c:v>03/02/2025</c:v>
                </c:pt>
                <c:pt idx="13">
                  <c:v>10/02/2025</c:v>
                </c:pt>
                <c:pt idx="14">
                  <c:v>17/02/2025</c:v>
                </c:pt>
                <c:pt idx="15">
                  <c:v>24/02/2025</c:v>
                </c:pt>
                <c:pt idx="16">
                  <c:v>03/03/2025</c:v>
                </c:pt>
                <c:pt idx="17">
                  <c:v>10/03/2025</c:v>
                </c:pt>
                <c:pt idx="18">
                  <c:v>17/03/2025</c:v>
                </c:pt>
                <c:pt idx="19">
                  <c:v>24/03/2025</c:v>
                </c:pt>
                <c:pt idx="20">
                  <c:v>31/03/2025</c:v>
                </c:pt>
                <c:pt idx="21">
                  <c:v>07/04/2025</c:v>
                </c:pt>
                <c:pt idx="22">
                  <c:v>21/04/2025</c:v>
                </c:pt>
                <c:pt idx="23">
                  <c:v>28/04/2025</c:v>
                </c:pt>
                <c:pt idx="24">
                  <c:v>05/05/2025</c:v>
                </c:pt>
                <c:pt idx="25">
                  <c:v>12/05/2025</c:v>
                </c:pt>
                <c:pt idx="26">
                  <c:v>19/05/2025</c:v>
                </c:pt>
                <c:pt idx="27">
                  <c:v>26/05/2025</c:v>
                </c:pt>
                <c:pt idx="28">
                  <c:v>02/06/2025</c:v>
                </c:pt>
                <c:pt idx="29">
                  <c:v>09/06/2025</c:v>
                </c:pt>
                <c:pt idx="30">
                  <c:v>16/06/2025</c:v>
                </c:pt>
                <c:pt idx="31">
                  <c:v>23/06/2025</c:v>
                </c:pt>
                <c:pt idx="32">
                  <c:v>30/06/2025</c:v>
                </c:pt>
                <c:pt idx="33">
                  <c:v>07/07/2025</c:v>
                </c:pt>
                <c:pt idx="34">
                  <c:v>14/07/2025</c:v>
                </c:pt>
                <c:pt idx="35">
                  <c:v>21/07/2025</c:v>
                </c:pt>
                <c:pt idx="36">
                  <c:v>28/07/2025</c:v>
                </c:pt>
                <c:pt idx="37">
                  <c:v>04/08/2025</c:v>
                </c:pt>
                <c:pt idx="38">
                  <c:v>11/08/2025</c:v>
                </c:pt>
                <c:pt idx="39">
                  <c:v>01/09/2025</c:v>
                </c:pt>
                <c:pt idx="40">
                  <c:v>08/09/2025</c:v>
                </c:pt>
                <c:pt idx="41">
                  <c:v>15/09/2025</c:v>
                </c:pt>
                <c:pt idx="42">
                  <c:v>22/09/2025</c:v>
                </c:pt>
                <c:pt idx="43">
                  <c:v>29/09/2025</c:v>
                </c:pt>
                <c:pt idx="44">
                  <c:v>06/10/2025</c:v>
                </c:pt>
                <c:pt idx="45">
                  <c:v>13/10/2025</c:v>
                </c:pt>
                <c:pt idx="46">
                  <c:v>20/10/2025</c:v>
                </c:pt>
                <c:pt idx="47">
                  <c:v>27/10/2025</c:v>
                </c:pt>
                <c:pt idx="48">
                  <c:v>03/11/2025</c:v>
                </c:pt>
                <c:pt idx="49">
                  <c:v>10/11/2025</c:v>
                </c:pt>
                <c:pt idx="50">
                  <c:v>17/11/2025</c:v>
                </c:pt>
                <c:pt idx="51">
                  <c:v>24/11/2025</c:v>
                </c:pt>
                <c:pt idx="52">
                  <c:v>01/12/2025</c:v>
                </c:pt>
                <c:pt idx="53">
                  <c:v>08/12/2025</c:v>
                </c:pt>
                <c:pt idx="54">
                  <c:v>15/12/2025</c:v>
                </c:pt>
                <c:pt idx="55">
                  <c:v>05/01/2026</c:v>
                </c:pt>
                <c:pt idx="56">
                  <c:v>12/01/2026</c:v>
                </c:pt>
                <c:pt idx="57">
                  <c:v>19/01/2026</c:v>
                </c:pt>
                <c:pt idx="58">
                  <c:v>26/01/2026</c:v>
                </c:pt>
                <c:pt idx="59">
                  <c:v>02/02/2026</c:v>
                </c:pt>
                <c:pt idx="60">
                  <c:v>09/02/2026</c:v>
                </c:pt>
                <c:pt idx="61">
                  <c:v>16/02/2026</c:v>
                </c:pt>
                <c:pt idx="62">
                  <c:v>23/02/2026</c:v>
                </c:pt>
                <c:pt idx="63">
                  <c:v>02/03/2026</c:v>
                </c:pt>
                <c:pt idx="64">
                  <c:v>09/03/2026</c:v>
                </c:pt>
                <c:pt idx="65">
                  <c:v>16/03/2026</c:v>
                </c:pt>
                <c:pt idx="66">
                  <c:v>23/03/2026</c:v>
                </c:pt>
                <c:pt idx="67">
                  <c:v>30/03/2026</c:v>
                </c:pt>
                <c:pt idx="68">
                  <c:v>06/04/2026</c:v>
                </c:pt>
                <c:pt idx="69">
                  <c:v>13/04/2026</c:v>
                </c:pt>
                <c:pt idx="70">
                  <c:v>20/04/2026</c:v>
                </c:pt>
                <c:pt idx="71">
                  <c:v>27/04/2026</c:v>
                </c:pt>
                <c:pt idx="72">
                  <c:v>04/05/2026</c:v>
                </c:pt>
                <c:pt idx="73">
                  <c:v>11/05/2026</c:v>
                </c:pt>
                <c:pt idx="74">
                  <c:v>18/05/2026</c:v>
                </c:pt>
                <c:pt idx="75">
                  <c:v>25/05/2026</c:v>
                </c:pt>
                <c:pt idx="76">
                  <c:v>01/06/2026</c:v>
                </c:pt>
                <c:pt idx="77">
                  <c:v>08/06/2026</c:v>
                </c:pt>
              </c:strCache>
            </c:strRef>
          </c:cat>
          <c:val>
            <c:numRef>
              <c:f>Progress!$F$2:$F$100</c:f>
              <c:numCache>
                <c:formatCode>General</c:formatCode>
                <c:ptCount val="99"/>
                <c:pt idx="0">
                  <c:v>11</c:v>
                </c:pt>
                <c:pt idx="1">
                  <c:v>21</c:v>
                </c:pt>
                <c:pt idx="2">
                  <c:v>31</c:v>
                </c:pt>
                <c:pt idx="3">
                  <c:v>41</c:v>
                </c:pt>
                <c:pt idx="4">
                  <c:v>51</c:v>
                </c:pt>
                <c:pt idx="5">
                  <c:v>61</c:v>
                </c:pt>
                <c:pt idx="6">
                  <c:v>71</c:v>
                </c:pt>
                <c:pt idx="7">
                  <c:v>81</c:v>
                </c:pt>
                <c:pt idx="8">
                  <c:v>91</c:v>
                </c:pt>
                <c:pt idx="9">
                  <c:v>101</c:v>
                </c:pt>
                <c:pt idx="10">
                  <c:v>111</c:v>
                </c:pt>
                <c:pt idx="11">
                  <c:v>121</c:v>
                </c:pt>
                <c:pt idx="12">
                  <c:v>131</c:v>
                </c:pt>
                <c:pt idx="13">
                  <c:v>141</c:v>
                </c:pt>
                <c:pt idx="14">
                  <c:v>151</c:v>
                </c:pt>
                <c:pt idx="15">
                  <c:v>161</c:v>
                </c:pt>
                <c:pt idx="16">
                  <c:v>171</c:v>
                </c:pt>
                <c:pt idx="17">
                  <c:v>182</c:v>
                </c:pt>
                <c:pt idx="18">
                  <c:v>192</c:v>
                </c:pt>
                <c:pt idx="19">
                  <c:v>202</c:v>
                </c:pt>
                <c:pt idx="20">
                  <c:v>212</c:v>
                </c:pt>
                <c:pt idx="21">
                  <c:v>222</c:v>
                </c:pt>
                <c:pt idx="22">
                  <c:v>232</c:v>
                </c:pt>
                <c:pt idx="23">
                  <c:v>242</c:v>
                </c:pt>
                <c:pt idx="24">
                  <c:v>252</c:v>
                </c:pt>
                <c:pt idx="25">
                  <c:v>262</c:v>
                </c:pt>
                <c:pt idx="26">
                  <c:v>272</c:v>
                </c:pt>
                <c:pt idx="27">
                  <c:v>282</c:v>
                </c:pt>
                <c:pt idx="28">
                  <c:v>292</c:v>
                </c:pt>
                <c:pt idx="29">
                  <c:v>302</c:v>
                </c:pt>
                <c:pt idx="30">
                  <c:v>312</c:v>
                </c:pt>
                <c:pt idx="31">
                  <c:v>322</c:v>
                </c:pt>
                <c:pt idx="32">
                  <c:v>332</c:v>
                </c:pt>
                <c:pt idx="33">
                  <c:v>342</c:v>
                </c:pt>
                <c:pt idx="34">
                  <c:v>352</c:v>
                </c:pt>
                <c:pt idx="35">
                  <c:v>363</c:v>
                </c:pt>
                <c:pt idx="36">
                  <c:v>373</c:v>
                </c:pt>
                <c:pt idx="37">
                  <c:v>383</c:v>
                </c:pt>
                <c:pt idx="38">
                  <c:v>393</c:v>
                </c:pt>
                <c:pt idx="39">
                  <c:v>403</c:v>
                </c:pt>
                <c:pt idx="40">
                  <c:v>413</c:v>
                </c:pt>
                <c:pt idx="41">
                  <c:v>423</c:v>
                </c:pt>
                <c:pt idx="42">
                  <c:v>433</c:v>
                </c:pt>
                <c:pt idx="43">
                  <c:v>443</c:v>
                </c:pt>
                <c:pt idx="44">
                  <c:v>453</c:v>
                </c:pt>
                <c:pt idx="45">
                  <c:v>463</c:v>
                </c:pt>
                <c:pt idx="46">
                  <c:v>473</c:v>
                </c:pt>
                <c:pt idx="47">
                  <c:v>483</c:v>
                </c:pt>
                <c:pt idx="48">
                  <c:v>493</c:v>
                </c:pt>
                <c:pt idx="49">
                  <c:v>503</c:v>
                </c:pt>
                <c:pt idx="50">
                  <c:v>513</c:v>
                </c:pt>
                <c:pt idx="51">
                  <c:v>523</c:v>
                </c:pt>
                <c:pt idx="52">
                  <c:v>539</c:v>
                </c:pt>
                <c:pt idx="53">
                  <c:v>539</c:v>
                </c:pt>
                <c:pt idx="54">
                  <c:v>541</c:v>
                </c:pt>
                <c:pt idx="55">
                  <c:v>539</c:v>
                </c:pt>
                <c:pt idx="56">
                  <c:v>539</c:v>
                </c:pt>
                <c:pt idx="57">
                  <c:v>544</c:v>
                </c:pt>
                <c:pt idx="58">
                  <c:v>544</c:v>
                </c:pt>
                <c:pt idx="59">
                  <c:v>544</c:v>
                </c:pt>
                <c:pt idx="60">
                  <c:v>544</c:v>
                </c:pt>
                <c:pt idx="61">
                  <c:v>544</c:v>
                </c:pt>
                <c:pt idx="62">
                  <c:v>544</c:v>
                </c:pt>
                <c:pt idx="63">
                  <c:v>544</c:v>
                </c:pt>
                <c:pt idx="64">
                  <c:v>544</c:v>
                </c:pt>
                <c:pt idx="65">
                  <c:v>544</c:v>
                </c:pt>
                <c:pt idx="66">
                  <c:v>544</c:v>
                </c:pt>
                <c:pt idx="67">
                  <c:v>544</c:v>
                </c:pt>
                <c:pt idx="68">
                  <c:v>544</c:v>
                </c:pt>
                <c:pt idx="69">
                  <c:v>544</c:v>
                </c:pt>
                <c:pt idx="70">
                  <c:v>546</c:v>
                </c:pt>
                <c:pt idx="71">
                  <c:v>546</c:v>
                </c:pt>
                <c:pt idx="72">
                  <c:v>546</c:v>
                </c:pt>
                <c:pt idx="73">
                  <c:v>547</c:v>
                </c:pt>
                <c:pt idx="74">
                  <c:v>547</c:v>
                </c:pt>
                <c:pt idx="75">
                  <c:v>547</c:v>
                </c:pt>
                <c:pt idx="76">
                  <c:v>548</c:v>
                </c:pt>
                <c:pt idx="77">
                  <c:v>548</c:v>
                </c:pt>
                <c:pt idx="78">
                  <c:v>548</c:v>
                </c:pt>
                <c:pt idx="79">
                  <c:v>548</c:v>
                </c:pt>
                <c:pt idx="80">
                  <c:v>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A-4F55-B8A9-DF203D47B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377407"/>
        <c:axId val="578376927"/>
      </c:lineChart>
      <c:catAx>
        <c:axId val="5783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76927"/>
        <c:crosses val="autoZero"/>
        <c:auto val="1"/>
        <c:lblAlgn val="ctr"/>
        <c:lblOffset val="100"/>
        <c:noMultiLvlLbl val="0"/>
      </c:catAx>
      <c:valAx>
        <c:axId val="57837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7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342067436290123"/>
          <c:y val="0.44632662706386506"/>
          <c:w val="0.29657936054159328"/>
          <c:h val="6.095108565974707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61CE2E-A170-472D-96CF-61D09BCDC82E}">
  <sheetPr codeName="Chart1"/>
  <sheetViews>
    <sheetView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C284D-8C29-9CE1-CE15-FD73FA96C7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0.35794</cdr:x>
      <cdr:y>0.03538</cdr:y>
    </cdr:from>
    <cdr:to>
      <cdr:x>0.35794</cdr:x>
      <cdr:y>0.98592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26C0240-D61F-C5FB-B1DE-D968316DD1A0}"/>
            </a:ext>
          </a:extLst>
        </cdr:cNvPr>
        <cdr:cNvCxnSpPr/>
      </cdr:nvCxnSpPr>
      <cdr:spPr>
        <a:xfrm xmlns:a="http://schemas.openxmlformats.org/drawingml/2006/main" flipV="1">
          <a:off x="3326973" y="214763"/>
          <a:ext cx="0" cy="5770613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0.36355</cdr:x>
      <cdr:y>0.05392</cdr:y>
    </cdr:from>
    <cdr:to>
      <cdr:x>0.51938</cdr:x>
      <cdr:y>0.1142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E6B5901-2EAB-B3FA-89FA-F988A6C66235}"/>
            </a:ext>
          </a:extLst>
        </cdr:cNvPr>
        <cdr:cNvSpPr txBox="1"/>
      </cdr:nvSpPr>
      <cdr:spPr>
        <a:xfrm xmlns:a="http://schemas.openxmlformats.org/drawingml/2006/main">
          <a:off x="3379137" y="327317"/>
          <a:ext cx="1448397" cy="3659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2000" kern="1200">
              <a:solidFill>
                <a:srgbClr val="FF0000"/>
              </a:solidFill>
            </a:rPr>
            <a:t>This week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pubs.acs.org/doi/full/10.1021/ct8004326" TargetMode="External"/><Relationship Id="rId21" Type="http://schemas.openxmlformats.org/officeDocument/2006/relationships/hyperlink" Target="http://pubs.acs.org/doi/abs/10.1021/cg070131c" TargetMode="External"/><Relationship Id="rId42" Type="http://schemas.openxmlformats.org/officeDocument/2006/relationships/hyperlink" Target="http://www3.interscience.wiley.com/cgi-bin/fulltext/112715500/HTMLSTART" TargetMode="External"/><Relationship Id="rId63" Type="http://schemas.openxmlformats.org/officeDocument/2006/relationships/hyperlink" Target="http://pubs.acs.org/doi/abs/10.1021/cg400090r" TargetMode="External"/><Relationship Id="rId84" Type="http://schemas.openxmlformats.org/officeDocument/2006/relationships/hyperlink" Target="http://dx.doi.org/10.1016/j.molstruc.2014.01.014" TargetMode="External"/><Relationship Id="rId138" Type="http://schemas.openxmlformats.org/officeDocument/2006/relationships/hyperlink" Target="http://pubs.acs.org/doi/abs/10.1021/cg100405s" TargetMode="External"/><Relationship Id="rId107" Type="http://schemas.openxmlformats.org/officeDocument/2006/relationships/hyperlink" Target="http://journals.iucr.org/b/issues/2009/02/00/bk5081/index.html" TargetMode="External"/><Relationship Id="rId11" Type="http://schemas.openxmlformats.org/officeDocument/2006/relationships/hyperlink" Target="http://pubs.acs.org/doi/abs/10.1021/cg049661o" TargetMode="External"/><Relationship Id="rId32" Type="http://schemas.openxmlformats.org/officeDocument/2006/relationships/hyperlink" Target="http://pubs.rsc.org/en/content/articlelanding/2011/cc/c1cc10762c" TargetMode="External"/><Relationship Id="rId37" Type="http://schemas.openxmlformats.org/officeDocument/2006/relationships/hyperlink" Target="http://pubs.acs.org/doi/abs/10.1021/cg1010049" TargetMode="External"/><Relationship Id="rId53" Type="http://schemas.openxmlformats.org/officeDocument/2006/relationships/hyperlink" Target="http://www.rsc.org/Publishing/Journals/NJ/article.asp?doi=b806763e" TargetMode="External"/><Relationship Id="rId58" Type="http://schemas.openxmlformats.org/officeDocument/2006/relationships/hyperlink" Target="http://www.rsc.org/Publishing/Journals/NJ/article.asp?doi=b806763e" TargetMode="External"/><Relationship Id="rId74" Type="http://schemas.openxmlformats.org/officeDocument/2006/relationships/hyperlink" Target="http://journals.iucr.org/b/issues/2011/06/00/bk5106/index.html" TargetMode="External"/><Relationship Id="rId79" Type="http://schemas.openxmlformats.org/officeDocument/2006/relationships/hyperlink" Target="http://pubs.rsc.org/en/Content/ArticleLanding/2012/CE/C2CE25940K" TargetMode="External"/><Relationship Id="rId102" Type="http://schemas.openxmlformats.org/officeDocument/2006/relationships/hyperlink" Target="http://pubs.acs.org/doi/abs/10.1021/cg400109j" TargetMode="External"/><Relationship Id="rId123" Type="http://schemas.openxmlformats.org/officeDocument/2006/relationships/hyperlink" Target="http://pubs.acs.org/doi/full/10.1021/ct8004326" TargetMode="External"/><Relationship Id="rId128" Type="http://schemas.openxmlformats.org/officeDocument/2006/relationships/hyperlink" Target="http://pubs.acs.org/doi/abs/10.1021/cg070131c" TargetMode="External"/><Relationship Id="rId5" Type="http://schemas.openxmlformats.org/officeDocument/2006/relationships/hyperlink" Target="https://pubs.acs.org/doi/10.1021/jacs.9b06634" TargetMode="External"/><Relationship Id="rId90" Type="http://schemas.openxmlformats.org/officeDocument/2006/relationships/hyperlink" Target="http://pubs.rsc.org/en/content/articlelanding/2011/cc/c1cc10762c" TargetMode="External"/><Relationship Id="rId95" Type="http://schemas.openxmlformats.org/officeDocument/2006/relationships/hyperlink" Target="http://journals.iucr.org/b/issues/2009/02/00/bk5081/index.html" TargetMode="External"/><Relationship Id="rId22" Type="http://schemas.openxmlformats.org/officeDocument/2006/relationships/hyperlink" Target="http://pubs.acs.org/doi/abs/10.1021/cg2005612" TargetMode="External"/><Relationship Id="rId27" Type="http://schemas.openxmlformats.org/officeDocument/2006/relationships/hyperlink" Target="http://pubs.acs.org/doi/full/10.1021/cg9014306" TargetMode="External"/><Relationship Id="rId43" Type="http://schemas.openxmlformats.org/officeDocument/2006/relationships/hyperlink" Target="http://pubs.acs.org/doi/abs/10.1021/cg070131c" TargetMode="External"/><Relationship Id="rId48" Type="http://schemas.openxmlformats.org/officeDocument/2006/relationships/hyperlink" Target="http://pubs.acs.org/doi/abs/10.1021/cg800517h" TargetMode="External"/><Relationship Id="rId64" Type="http://schemas.openxmlformats.org/officeDocument/2006/relationships/hyperlink" Target="http://pubs.rsc.org/en/Content/ArticleLanding/2018/FD/C8FD00010G" TargetMode="External"/><Relationship Id="rId69" Type="http://schemas.openxmlformats.org/officeDocument/2006/relationships/hyperlink" Target="http://pubs.rsc.org/en/Content/ArticleLanding/2018/FD/C8FD00010G" TargetMode="External"/><Relationship Id="rId113" Type="http://schemas.openxmlformats.org/officeDocument/2006/relationships/hyperlink" Target="http://pubs.rsc.org/en/content/articlelanding/2012/ce/c2ce06325e" TargetMode="External"/><Relationship Id="rId118" Type="http://schemas.openxmlformats.org/officeDocument/2006/relationships/hyperlink" Target="http://pubs.acs.org/doi/full/10.1021/ct8004326" TargetMode="External"/><Relationship Id="rId134" Type="http://schemas.openxmlformats.org/officeDocument/2006/relationships/hyperlink" Target="http://pubs.acs.org/doi/full/10.1021/cg9014306" TargetMode="External"/><Relationship Id="rId139" Type="http://schemas.openxmlformats.org/officeDocument/2006/relationships/hyperlink" Target="http://pubs.acs.org/doi/abs/10.1021/cg100405s" TargetMode="External"/><Relationship Id="rId80" Type="http://schemas.openxmlformats.org/officeDocument/2006/relationships/hyperlink" Target="http://pubs.rsc.org/en/Content/ArticleLanding/2012/CP/C2CP40644F" TargetMode="External"/><Relationship Id="rId85" Type="http://schemas.openxmlformats.org/officeDocument/2006/relationships/hyperlink" Target="http://pubs.acs.org/doi/abs/10.1021/cg101162a" TargetMode="External"/><Relationship Id="rId12" Type="http://schemas.openxmlformats.org/officeDocument/2006/relationships/hyperlink" Target="http://pubs.acs.org/doi/abs/10.1021/cg049661o" TargetMode="External"/><Relationship Id="rId17" Type="http://schemas.openxmlformats.org/officeDocument/2006/relationships/hyperlink" Target="http://pubs.acs.org/doi/abs/10.1021/acs.cgd.6b01669" TargetMode="External"/><Relationship Id="rId33" Type="http://schemas.openxmlformats.org/officeDocument/2006/relationships/hyperlink" Target="http://www.sciencedirect.com/science/article/pii/S0378517311002997" TargetMode="External"/><Relationship Id="rId38" Type="http://schemas.openxmlformats.org/officeDocument/2006/relationships/hyperlink" Target="http://pubs.acs.org/doi/abs/10.1021/jp211948q" TargetMode="External"/><Relationship Id="rId59" Type="http://schemas.openxmlformats.org/officeDocument/2006/relationships/hyperlink" Target="http://pubs.acs.org/doi/abs/10.1021/acs.cgd.6b00973" TargetMode="External"/><Relationship Id="rId103" Type="http://schemas.openxmlformats.org/officeDocument/2006/relationships/hyperlink" Target="http://www.sciencedirect.com/science/article/pii/S0378517311002997" TargetMode="External"/><Relationship Id="rId108" Type="http://schemas.openxmlformats.org/officeDocument/2006/relationships/hyperlink" Target="http://journals.iucr.org/b/issues/2011/06/00/bk5106/index.html" TargetMode="External"/><Relationship Id="rId124" Type="http://schemas.openxmlformats.org/officeDocument/2006/relationships/hyperlink" Target="http://pubs.rsc.org/en/content/articlelanding/2011/cc/c1cc10762c" TargetMode="External"/><Relationship Id="rId129" Type="http://schemas.openxmlformats.org/officeDocument/2006/relationships/hyperlink" Target="http://pubs.acs.org/doi/full/10.1021/cg9014306" TargetMode="External"/><Relationship Id="rId54" Type="http://schemas.openxmlformats.org/officeDocument/2006/relationships/hyperlink" Target="http://www.rsc.org/Publishing/Journals/NJ/article.asp?doi=b806763e" TargetMode="External"/><Relationship Id="rId70" Type="http://schemas.openxmlformats.org/officeDocument/2006/relationships/hyperlink" Target="http://pubs.acs.org/doi/full/10.1021/jacs.5b05938" TargetMode="External"/><Relationship Id="rId75" Type="http://schemas.openxmlformats.org/officeDocument/2006/relationships/hyperlink" Target="http://dx.doi.org/10.1107/S2052520616007447" TargetMode="External"/><Relationship Id="rId91" Type="http://schemas.openxmlformats.org/officeDocument/2006/relationships/hyperlink" Target="http://pubs.rsc.org/en/content/articlelanding/2011/cc/c1cc10762c" TargetMode="External"/><Relationship Id="rId96" Type="http://schemas.openxmlformats.org/officeDocument/2006/relationships/hyperlink" Target="http://pubs.acs.org/doi/abs/10.1021/jp211948q" TargetMode="External"/><Relationship Id="rId140" Type="http://schemas.openxmlformats.org/officeDocument/2006/relationships/hyperlink" Target="http://pubs.acs.org/doi/abs/10.1021/ct700045r" TargetMode="External"/><Relationship Id="rId1" Type="http://schemas.openxmlformats.org/officeDocument/2006/relationships/hyperlink" Target="http://www.amercrystalassn.org/documents/TransactionsVol39Part1.pdf" TargetMode="External"/><Relationship Id="rId6" Type="http://schemas.openxmlformats.org/officeDocument/2006/relationships/hyperlink" Target="http://pubs.acs.org/doi/abs/10.1021/cg049922u" TargetMode="External"/><Relationship Id="rId23" Type="http://schemas.openxmlformats.org/officeDocument/2006/relationships/hyperlink" Target="http://pubs.acs.org/doi/abs/10.1021/cg100405s" TargetMode="External"/><Relationship Id="rId28" Type="http://schemas.openxmlformats.org/officeDocument/2006/relationships/hyperlink" Target="http://pubs.acs.org/doi/full/10.1021/cg901230b" TargetMode="External"/><Relationship Id="rId49" Type="http://schemas.openxmlformats.org/officeDocument/2006/relationships/hyperlink" Target="http://www.rsc.org/Publishing/Journals/NJ/article.asp?doi=b806763e" TargetMode="External"/><Relationship Id="rId114" Type="http://schemas.openxmlformats.org/officeDocument/2006/relationships/hyperlink" Target="http://pubs.rsc.org/en/content/articlelanding/2012/ce/c2ce06325e" TargetMode="External"/><Relationship Id="rId119" Type="http://schemas.openxmlformats.org/officeDocument/2006/relationships/hyperlink" Target="http://pubs.acs.org/doi/full/10.1021/ct8004326" TargetMode="External"/><Relationship Id="rId44" Type="http://schemas.openxmlformats.org/officeDocument/2006/relationships/hyperlink" Target="http://pubs.acs.org/doi/abs/10.1021/cg070131c" TargetMode="External"/><Relationship Id="rId60" Type="http://schemas.openxmlformats.org/officeDocument/2006/relationships/hyperlink" Target="https://pubs.acs.org/doi/10.1021/acsomega.9b00648" TargetMode="External"/><Relationship Id="rId65" Type="http://schemas.openxmlformats.org/officeDocument/2006/relationships/hyperlink" Target="http://pubs.rsc.org/en/Content/ArticleLanding/2018/FD/C8FD00010G" TargetMode="External"/><Relationship Id="rId81" Type="http://schemas.openxmlformats.org/officeDocument/2006/relationships/hyperlink" Target="http://pubs.acs.org/doi/abs/10.1021/ja0687466" TargetMode="External"/><Relationship Id="rId86" Type="http://schemas.openxmlformats.org/officeDocument/2006/relationships/hyperlink" Target="http://pubs.acs.org/doi/abs/10.1021/cg101162a" TargetMode="External"/><Relationship Id="rId130" Type="http://schemas.openxmlformats.org/officeDocument/2006/relationships/hyperlink" Target="http://pubs.acs.org/doi/full/10.1021/cg9014306" TargetMode="External"/><Relationship Id="rId135" Type="http://schemas.openxmlformats.org/officeDocument/2006/relationships/hyperlink" Target="http://pubs.acs.org/doi/full/10.1021/cg9014306" TargetMode="External"/><Relationship Id="rId13" Type="http://schemas.openxmlformats.org/officeDocument/2006/relationships/hyperlink" Target="http://pubs.acs.org/doi/abs/10.1021/cg500331u" TargetMode="External"/><Relationship Id="rId18" Type="http://schemas.openxmlformats.org/officeDocument/2006/relationships/hyperlink" Target="http://journals.iucr.org/b/issues/2006/02/00/so5001/index.html" TargetMode="External"/><Relationship Id="rId39" Type="http://schemas.openxmlformats.org/officeDocument/2006/relationships/hyperlink" Target="http://pubs.acs.org/doi/abs/10.1021/ct200354t" TargetMode="External"/><Relationship Id="rId109" Type="http://schemas.openxmlformats.org/officeDocument/2006/relationships/hyperlink" Target="http://journals.iucr.org/b/issues/2011/06/00/bk5106/index.html" TargetMode="External"/><Relationship Id="rId34" Type="http://schemas.openxmlformats.org/officeDocument/2006/relationships/hyperlink" Target="http://www.sciencedirect.com/science/article/pii/S0378517311002997" TargetMode="External"/><Relationship Id="rId50" Type="http://schemas.openxmlformats.org/officeDocument/2006/relationships/hyperlink" Target="http://www.rsc.org/Publishing/Journals/NJ/article.asp?doi=b806763e" TargetMode="External"/><Relationship Id="rId55" Type="http://schemas.openxmlformats.org/officeDocument/2006/relationships/hyperlink" Target="http://www.rsc.org/Publishing/Journals/NJ/article.asp?doi=b806763e" TargetMode="External"/><Relationship Id="rId76" Type="http://schemas.openxmlformats.org/officeDocument/2006/relationships/hyperlink" Target="http://dx.doi.org/10.1107/S2052520616007447" TargetMode="External"/><Relationship Id="rId97" Type="http://schemas.openxmlformats.org/officeDocument/2006/relationships/hyperlink" Target="http://pubs.acs.org/doi/full/10.1021/cg201203u" TargetMode="External"/><Relationship Id="rId104" Type="http://schemas.openxmlformats.org/officeDocument/2006/relationships/hyperlink" Target="http://journals.iucr.org/b/issues/2009/02/00/bk5081/index.html" TargetMode="External"/><Relationship Id="rId120" Type="http://schemas.openxmlformats.org/officeDocument/2006/relationships/hyperlink" Target="http://pubs.rsc.org/en/content/articlelanding/2012/ce/c2ce06325e" TargetMode="External"/><Relationship Id="rId125" Type="http://schemas.openxmlformats.org/officeDocument/2006/relationships/hyperlink" Target="http://pubs.rsc.org/en/content/articlelanding/2011/cc/c1cc10762c" TargetMode="External"/><Relationship Id="rId141" Type="http://schemas.openxmlformats.org/officeDocument/2006/relationships/printerSettings" Target="../printerSettings/printerSettings1.bin"/><Relationship Id="rId7" Type="http://schemas.openxmlformats.org/officeDocument/2006/relationships/hyperlink" Target="http://www.rsc.org/publishing/journals/CE/article.asp?doi=b504756k" TargetMode="External"/><Relationship Id="rId71" Type="http://schemas.openxmlformats.org/officeDocument/2006/relationships/hyperlink" Target="http://journals.iucr.org/b/issues/2011/06/00/bk5106/index.html" TargetMode="External"/><Relationship Id="rId92" Type="http://schemas.openxmlformats.org/officeDocument/2006/relationships/hyperlink" Target="http://pubs.rsc.org/en/content/articlelanding/2011/cc/c1cc10762c" TargetMode="External"/><Relationship Id="rId2" Type="http://schemas.openxmlformats.org/officeDocument/2006/relationships/hyperlink" Target="http://www.amercrystalassn.org/documents/TransactionsVol39Part1.pdf" TargetMode="External"/><Relationship Id="rId29" Type="http://schemas.openxmlformats.org/officeDocument/2006/relationships/hyperlink" Target="http://pubs.acs.org/doi/abs/10.1021/cg101162a" TargetMode="External"/><Relationship Id="rId24" Type="http://schemas.openxmlformats.org/officeDocument/2006/relationships/hyperlink" Target="http://pubs.acs.org/doi/abs/10.1021/cg100405s" TargetMode="External"/><Relationship Id="rId40" Type="http://schemas.openxmlformats.org/officeDocument/2006/relationships/hyperlink" Target="http://www.rsc.org/Publishing/Journals/CE/article.asp?doi=b714566g" TargetMode="External"/><Relationship Id="rId45" Type="http://schemas.openxmlformats.org/officeDocument/2006/relationships/hyperlink" Target="http://pubs.acs.org/doi/abs/10.1021/cg070131c" TargetMode="External"/><Relationship Id="rId66" Type="http://schemas.openxmlformats.org/officeDocument/2006/relationships/hyperlink" Target="http://pubs.rsc.org/en/Content/ArticleLanding/2018/FD/C8FD00010G" TargetMode="External"/><Relationship Id="rId87" Type="http://schemas.openxmlformats.org/officeDocument/2006/relationships/hyperlink" Target="http://pubs.acs.org/doi/abs/10.1021/cg2005612" TargetMode="External"/><Relationship Id="rId110" Type="http://schemas.openxmlformats.org/officeDocument/2006/relationships/hyperlink" Target="http://journals.iucr.org/b/issues/2011/06/00/bk5106/index.html" TargetMode="External"/><Relationship Id="rId115" Type="http://schemas.openxmlformats.org/officeDocument/2006/relationships/hyperlink" Target="http://pubs.rsc.org/en/content/articlelanding/2012/ce/c2ce06325e" TargetMode="External"/><Relationship Id="rId131" Type="http://schemas.openxmlformats.org/officeDocument/2006/relationships/hyperlink" Target="http://pubs.acs.org/doi/full/10.1021/cg9014306" TargetMode="External"/><Relationship Id="rId136" Type="http://schemas.openxmlformats.org/officeDocument/2006/relationships/hyperlink" Target="http://pubs.acs.org/doi/abs/10.1021/cg049661o" TargetMode="External"/><Relationship Id="rId61" Type="http://schemas.openxmlformats.org/officeDocument/2006/relationships/hyperlink" Target="https://pubs.acs.org/doi/10.1021/acs.cgd.9b00557" TargetMode="External"/><Relationship Id="rId82" Type="http://schemas.openxmlformats.org/officeDocument/2006/relationships/hyperlink" Target="http://pubs.rsc.org/en/content/articlelanding/2013/ce/c2ce26097b" TargetMode="External"/><Relationship Id="rId19" Type="http://schemas.openxmlformats.org/officeDocument/2006/relationships/hyperlink" Target="http://pubs.acs.org/doi/abs/10.1021/cg070131c" TargetMode="External"/><Relationship Id="rId14" Type="http://schemas.openxmlformats.org/officeDocument/2006/relationships/hyperlink" Target="http://www.rsc.org/Publishing/Journals/NJ/article.asp?doi=b806763e" TargetMode="External"/><Relationship Id="rId30" Type="http://schemas.openxmlformats.org/officeDocument/2006/relationships/hyperlink" Target="http://pubs.rsc.org/en/content/articlelanding/2011/cc/c1cc10762c" TargetMode="External"/><Relationship Id="rId35" Type="http://schemas.openxmlformats.org/officeDocument/2006/relationships/hyperlink" Target="http://www.sciencedirect.com/science/article/pii/S0378517311002997" TargetMode="External"/><Relationship Id="rId56" Type="http://schemas.openxmlformats.org/officeDocument/2006/relationships/hyperlink" Target="http://www.rsc.org/Publishing/Journals/NJ/article.asp?doi=b806763e" TargetMode="External"/><Relationship Id="rId77" Type="http://schemas.openxmlformats.org/officeDocument/2006/relationships/hyperlink" Target="http://pubs.acs.org/doi/abs/10.1021/cg3007348" TargetMode="External"/><Relationship Id="rId100" Type="http://schemas.openxmlformats.org/officeDocument/2006/relationships/hyperlink" Target="https://pubs.acs.org/doi/abs/10.1021/acs.cgd.8b00765" TargetMode="External"/><Relationship Id="rId105" Type="http://schemas.openxmlformats.org/officeDocument/2006/relationships/hyperlink" Target="http://journals.iucr.org/b/issues/2009/02/00/bk5081/index.html" TargetMode="External"/><Relationship Id="rId126" Type="http://schemas.openxmlformats.org/officeDocument/2006/relationships/hyperlink" Target="http://pubs.rsc.org/en/content/articlelanding/2011/cc/c1cc10762c" TargetMode="External"/><Relationship Id="rId8" Type="http://schemas.openxmlformats.org/officeDocument/2006/relationships/hyperlink" Target="http://www.rsc.org/publishing/journals/CE/article.asp?doi=b504756k" TargetMode="External"/><Relationship Id="rId51" Type="http://schemas.openxmlformats.org/officeDocument/2006/relationships/hyperlink" Target="http://www.rsc.org/Publishing/Journals/NJ/article.asp?doi=b806763e" TargetMode="External"/><Relationship Id="rId72" Type="http://schemas.openxmlformats.org/officeDocument/2006/relationships/hyperlink" Target="http://journals.iucr.org/b/issues/2011/06/00/bk5106/index.html" TargetMode="External"/><Relationship Id="rId93" Type="http://schemas.openxmlformats.org/officeDocument/2006/relationships/hyperlink" Target="http://www.sciencedirect.com/science/article/pii/S0378517311002997" TargetMode="External"/><Relationship Id="rId98" Type="http://schemas.openxmlformats.org/officeDocument/2006/relationships/hyperlink" Target="https://pubs.acs.org/doi/abs/10.1021/acs.cgd.8b00765" TargetMode="External"/><Relationship Id="rId121" Type="http://schemas.openxmlformats.org/officeDocument/2006/relationships/hyperlink" Target="http://pubs.rsc.org/en/content/articlelanding/2012/ce/c2ce06325e" TargetMode="External"/><Relationship Id="rId3" Type="http://schemas.openxmlformats.org/officeDocument/2006/relationships/hyperlink" Target="http://www.amercrystalassn.org/documents/TransactionsVol39Part1.pdf" TargetMode="External"/><Relationship Id="rId25" Type="http://schemas.openxmlformats.org/officeDocument/2006/relationships/hyperlink" Target="http://pubs.acs.org/doi/abs/10.1021/ct700045r" TargetMode="External"/><Relationship Id="rId46" Type="http://schemas.openxmlformats.org/officeDocument/2006/relationships/hyperlink" Target="http://pubs.acs.org/doi/abs/10.1021/cg070131c" TargetMode="External"/><Relationship Id="rId67" Type="http://schemas.openxmlformats.org/officeDocument/2006/relationships/hyperlink" Target="http://pubs.rsc.org/en/Content/ArticleLanding/2018/FD/C8FD00010G" TargetMode="External"/><Relationship Id="rId116" Type="http://schemas.openxmlformats.org/officeDocument/2006/relationships/hyperlink" Target="http://pubs.acs.org/doi/full/10.1021/ct8004326" TargetMode="External"/><Relationship Id="rId137" Type="http://schemas.openxmlformats.org/officeDocument/2006/relationships/hyperlink" Target="http://pubs.acs.org/doi/abs/10.1021/cg050398g" TargetMode="External"/><Relationship Id="rId20" Type="http://schemas.openxmlformats.org/officeDocument/2006/relationships/hyperlink" Target="http://pubs.acs.org/doi/abs/10.1021/cg070131c" TargetMode="External"/><Relationship Id="rId41" Type="http://schemas.openxmlformats.org/officeDocument/2006/relationships/hyperlink" Target="http://www.rsc.org/Publishing/Journals/CE/article.asp?doi=b714566g" TargetMode="External"/><Relationship Id="rId62" Type="http://schemas.openxmlformats.org/officeDocument/2006/relationships/hyperlink" Target="http://pubs.rsc.org/en/Content/ArticleLanding/2018/CE/C8CE00625C" TargetMode="External"/><Relationship Id="rId83" Type="http://schemas.openxmlformats.org/officeDocument/2006/relationships/hyperlink" Target="http://pubs.acs.org/doi/abs/10.1021/cg301826s" TargetMode="External"/><Relationship Id="rId88" Type="http://schemas.openxmlformats.org/officeDocument/2006/relationships/hyperlink" Target="http://pubs.acs.org/doi/abs/10.1021/jp710017y" TargetMode="External"/><Relationship Id="rId111" Type="http://schemas.openxmlformats.org/officeDocument/2006/relationships/hyperlink" Target="http://dx.doi.org/10.1107/S2052520616007447" TargetMode="External"/><Relationship Id="rId132" Type="http://schemas.openxmlformats.org/officeDocument/2006/relationships/hyperlink" Target="http://pubs.acs.org/doi/full/10.1021/cg9014306" TargetMode="External"/><Relationship Id="rId15" Type="http://schemas.openxmlformats.org/officeDocument/2006/relationships/hyperlink" Target="http://www.rsc.org/Publishing/Journals/NJ/article.asp?doi=b806763e" TargetMode="External"/><Relationship Id="rId36" Type="http://schemas.openxmlformats.org/officeDocument/2006/relationships/hyperlink" Target="http://www.sciencedirect.com/science/article/pii/S0378517311002997" TargetMode="External"/><Relationship Id="rId57" Type="http://schemas.openxmlformats.org/officeDocument/2006/relationships/hyperlink" Target="http://www.rsc.org/Publishing/Journals/NJ/article.asp?doi=b806763e" TargetMode="External"/><Relationship Id="rId106" Type="http://schemas.openxmlformats.org/officeDocument/2006/relationships/hyperlink" Target="http://journals.iucr.org/b/issues/2009/02/00/bk5081/index.html" TargetMode="External"/><Relationship Id="rId127" Type="http://schemas.openxmlformats.org/officeDocument/2006/relationships/hyperlink" Target="http://pubs.acs.org/doi/abs/10.1021/cg070131c" TargetMode="External"/><Relationship Id="rId10" Type="http://schemas.openxmlformats.org/officeDocument/2006/relationships/hyperlink" Target="http://pubs.acs.org/doi/abs/10.1021/cg049661o" TargetMode="External"/><Relationship Id="rId31" Type="http://schemas.openxmlformats.org/officeDocument/2006/relationships/hyperlink" Target="http://pubs.rsc.org/en/content/articlelanding/2011/cc/c1cc10762c" TargetMode="External"/><Relationship Id="rId52" Type="http://schemas.openxmlformats.org/officeDocument/2006/relationships/hyperlink" Target="http://www.rsc.org/Publishing/Journals/NJ/article.asp?doi=b806763e" TargetMode="External"/><Relationship Id="rId73" Type="http://schemas.openxmlformats.org/officeDocument/2006/relationships/hyperlink" Target="http://journals.iucr.org/b/issues/2011/06/00/bk5106/index.html" TargetMode="External"/><Relationship Id="rId78" Type="http://schemas.openxmlformats.org/officeDocument/2006/relationships/hyperlink" Target="http://pubs.acs.org/doi/abs/10.1021/cg3007348" TargetMode="External"/><Relationship Id="rId94" Type="http://schemas.openxmlformats.org/officeDocument/2006/relationships/hyperlink" Target="http://pubs.acs.org/doi/full/10.1021/ct8004326" TargetMode="External"/><Relationship Id="rId99" Type="http://schemas.openxmlformats.org/officeDocument/2006/relationships/hyperlink" Target="https://pubs.acs.org/doi/abs/10.1021/acs.cgd.8b00765" TargetMode="External"/><Relationship Id="rId101" Type="http://schemas.openxmlformats.org/officeDocument/2006/relationships/hyperlink" Target="http://pubs.rsc.org/en/Content/ArticleLanding/2016/CC/C6CC01710J" TargetMode="External"/><Relationship Id="rId122" Type="http://schemas.openxmlformats.org/officeDocument/2006/relationships/hyperlink" Target="http://pubs.acs.org/doi/full/10.1021/cg901230b" TargetMode="External"/><Relationship Id="rId4" Type="http://schemas.openxmlformats.org/officeDocument/2006/relationships/hyperlink" Target="https://pubs.rsc.org/en/Content/ArticleLanding/2019/CE/C8CE01874J" TargetMode="External"/><Relationship Id="rId9" Type="http://schemas.openxmlformats.org/officeDocument/2006/relationships/hyperlink" Target="http://pubs.acs.org/doi/abs/10.1021/cg049661o" TargetMode="External"/><Relationship Id="rId26" Type="http://schemas.openxmlformats.org/officeDocument/2006/relationships/hyperlink" Target="http://pubs.acs.org/doi/full/10.1021/cg9014306" TargetMode="External"/><Relationship Id="rId47" Type="http://schemas.openxmlformats.org/officeDocument/2006/relationships/hyperlink" Target="http://pubs.acs.org/doi/abs/10.1021/ja0498235" TargetMode="External"/><Relationship Id="rId68" Type="http://schemas.openxmlformats.org/officeDocument/2006/relationships/hyperlink" Target="http://pubs.rsc.org/en/Content/ArticleLanding/2018/FD/C8FD00010G" TargetMode="External"/><Relationship Id="rId89" Type="http://schemas.openxmlformats.org/officeDocument/2006/relationships/hyperlink" Target="http://pubs.rsc.org/en/content/articlelanding/2011/cc/c1cc10762c" TargetMode="External"/><Relationship Id="rId112" Type="http://schemas.openxmlformats.org/officeDocument/2006/relationships/hyperlink" Target="http://pubs.rsc.org/en/content/articlelanding/2011/cc/c1cc10762c" TargetMode="External"/><Relationship Id="rId133" Type="http://schemas.openxmlformats.org/officeDocument/2006/relationships/hyperlink" Target="http://pubs.acs.org/doi/full/10.1021/cg9014306" TargetMode="External"/><Relationship Id="rId16" Type="http://schemas.openxmlformats.org/officeDocument/2006/relationships/hyperlink" Target="http://dx.doi.org/10.1107/S2052520616007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562"/>
  <sheetViews>
    <sheetView tabSelected="1" topLeftCell="C1" workbookViewId="0">
      <pane ySplit="1" topLeftCell="A195" activePane="bottomLeft" state="frozen"/>
      <selection pane="bottomLeft" activeCell="R439" sqref="R439"/>
    </sheetView>
  </sheetViews>
  <sheetFormatPr defaultRowHeight="12.75" x14ac:dyDescent="0.2"/>
  <cols>
    <col min="1" max="1" width="12.28515625" bestFit="1" customWidth="1"/>
    <col min="2" max="2" width="36.42578125" bestFit="1" customWidth="1"/>
    <col min="3" max="3" width="10.85546875" bestFit="1" customWidth="1"/>
    <col min="4" max="4" width="17.28515625" customWidth="1"/>
    <col min="5" max="5" width="23.7109375" customWidth="1"/>
    <col min="6" max="6" width="14.7109375" customWidth="1"/>
    <col min="7" max="7" width="11.140625" customWidth="1"/>
    <col min="8" max="9" width="9.140625" customWidth="1"/>
    <col min="10" max="10" width="9.85546875" customWidth="1"/>
    <col min="11" max="11" width="11.42578125" customWidth="1"/>
    <col min="12" max="18" width="9.140625" customWidth="1"/>
    <col min="19" max="19" width="21" customWidth="1"/>
    <col min="20" max="22" width="9.140625" customWidth="1"/>
    <col min="23" max="23" width="15.42578125" customWidth="1"/>
    <col min="24" max="24" width="56.42578125" bestFit="1" customWidth="1"/>
    <col min="25" max="31" width="9.140625" customWidth="1"/>
    <col min="32" max="32" width="53.5703125" bestFit="1" customWidth="1"/>
    <col min="33" max="33" width="9.140625" style="15"/>
    <col min="36" max="36" width="38.42578125" bestFit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824</v>
      </c>
      <c r="I1" t="s">
        <v>825</v>
      </c>
      <c r="J1" t="s">
        <v>836</v>
      </c>
      <c r="K1" t="s">
        <v>837</v>
      </c>
      <c r="L1" t="s">
        <v>932</v>
      </c>
      <c r="M1" t="s">
        <v>857</v>
      </c>
      <c r="N1" t="s">
        <v>870</v>
      </c>
      <c r="O1" t="s">
        <v>829</v>
      </c>
      <c r="P1" t="s">
        <v>1487</v>
      </c>
      <c r="Q1" t="s">
        <v>1546</v>
      </c>
      <c r="R1" t="s">
        <v>826</v>
      </c>
      <c r="S1" t="s">
        <v>827</v>
      </c>
      <c r="T1" t="s">
        <v>828</v>
      </c>
      <c r="U1" t="s">
        <v>960</v>
      </c>
      <c r="V1" t="s">
        <v>961</v>
      </c>
      <c r="W1" t="s">
        <v>1675</v>
      </c>
      <c r="X1" t="s">
        <v>1634</v>
      </c>
      <c r="Y1" t="s">
        <v>1635</v>
      </c>
      <c r="Z1" t="s">
        <v>1545</v>
      </c>
      <c r="AA1" t="s">
        <v>1060</v>
      </c>
      <c r="AB1" t="s">
        <v>1606</v>
      </c>
      <c r="AC1" t="s">
        <v>2869</v>
      </c>
      <c r="AD1" t="s">
        <v>2867</v>
      </c>
      <c r="AE1" t="s">
        <v>2868</v>
      </c>
      <c r="AF1" t="s">
        <v>2926</v>
      </c>
      <c r="AG1" s="15" t="s">
        <v>2870</v>
      </c>
      <c r="AH1" t="s">
        <v>2871</v>
      </c>
      <c r="AI1" t="s">
        <v>2899</v>
      </c>
      <c r="AJ1" t="s">
        <v>1</v>
      </c>
      <c r="AK1" t="s">
        <v>3058</v>
      </c>
      <c r="AL1" t="s">
        <v>3313</v>
      </c>
      <c r="AM1" t="s">
        <v>3312</v>
      </c>
      <c r="AN1" t="s">
        <v>3316</v>
      </c>
    </row>
    <row r="2" spans="1:40" x14ac:dyDescent="0.2">
      <c r="A2" t="s">
        <v>9</v>
      </c>
      <c r="B2" t="s">
        <v>10</v>
      </c>
      <c r="C2">
        <v>0</v>
      </c>
      <c r="D2" t="s">
        <v>11</v>
      </c>
      <c r="E2" t="s">
        <v>11</v>
      </c>
      <c r="F2" t="s">
        <v>11</v>
      </c>
      <c r="G2" s="4" t="s">
        <v>944</v>
      </c>
      <c r="H2" s="4" t="s">
        <v>830</v>
      </c>
      <c r="I2" s="4" t="s">
        <v>2900</v>
      </c>
      <c r="J2" t="s">
        <v>1248</v>
      </c>
      <c r="K2" t="s">
        <v>872</v>
      </c>
      <c r="L2" s="4" t="s">
        <v>945</v>
      </c>
      <c r="M2" t="s">
        <v>877</v>
      </c>
      <c r="N2">
        <v>2010</v>
      </c>
      <c r="O2" t="s">
        <v>830</v>
      </c>
      <c r="P2" t="s">
        <v>877</v>
      </c>
      <c r="Q2" t="s">
        <v>830</v>
      </c>
      <c r="R2" t="s">
        <v>947</v>
      </c>
      <c r="S2" t="s">
        <v>947</v>
      </c>
      <c r="T2" t="s">
        <v>830</v>
      </c>
      <c r="U2" t="s">
        <v>830</v>
      </c>
      <c r="W2" t="s">
        <v>1896</v>
      </c>
      <c r="X2" t="s">
        <v>1889</v>
      </c>
      <c r="Y2" t="s">
        <v>830</v>
      </c>
      <c r="Z2">
        <v>6</v>
      </c>
      <c r="AA2">
        <v>582</v>
      </c>
      <c r="AB2">
        <v>20.420000000000002</v>
      </c>
      <c r="AC2" t="str">
        <f t="shared" ref="AC2:AC33" si="0">IF(AND(A2&lt;&gt;A1,T2="Yes"),A2,"")</f>
        <v>ACRDIN</v>
      </c>
      <c r="AD2" t="str">
        <f>AE2</f>
        <v>Acridine</v>
      </c>
      <c r="AE2" t="str">
        <f t="shared" ref="AE2:AE65" si="1">IF(AC2="","",MID(X2,1,(FIND("_",X2))-1))</f>
        <v>Acridine</v>
      </c>
      <c r="AF2" t="str">
        <f>AE2</f>
        <v>Acridine</v>
      </c>
      <c r="AG2" s="15" t="s">
        <v>2874</v>
      </c>
      <c r="AH2" t="s">
        <v>3060</v>
      </c>
      <c r="AI2" t="str">
        <f t="shared" ref="AI2:AI65" si="2">IF(AC2="","",SUBSTITUTE(IF(MID(I2,1,5)="Yes, ",MID(I2,6,100),I2)," ",","))</f>
        <v>CSD,version,5.44,with,Apr,2023,update</v>
      </c>
      <c r="AJ2" t="str">
        <f t="shared" ref="AJ2:AJ65" si="3">IF(AC2="","",SUBSTITUTE(B2," ",","))</f>
        <v>C13,H9,N1</v>
      </c>
      <c r="AK2" t="s">
        <v>3057</v>
      </c>
      <c r="AL2">
        <v>2</v>
      </c>
      <c r="AM2">
        <v>3</v>
      </c>
      <c r="AN2" t="str">
        <f>IF(AM2&lt;&gt;"",CONCATENATE(AC2," &amp; \ce{",SUBSTITUTE(AJ2,","," "),"} &amp; ",SUBSTITUTE(AF2,"."," ")," &amp; ",AL2," &amp; ",AM2," \\"),"")</f>
        <v>ACRDIN &amp; \ce{C13 H9 N1} &amp; Acridine &amp; 2 &amp; 3 \\</v>
      </c>
    </row>
    <row r="3" spans="1:40" x14ac:dyDescent="0.2">
      <c r="A3" t="s">
        <v>9</v>
      </c>
      <c r="B3" t="s">
        <v>10</v>
      </c>
      <c r="C3">
        <v>20</v>
      </c>
      <c r="D3" t="s">
        <v>11</v>
      </c>
      <c r="E3" t="s">
        <v>11</v>
      </c>
      <c r="F3" t="s">
        <v>11</v>
      </c>
      <c r="G3" s="4" t="s">
        <v>944</v>
      </c>
      <c r="H3" t="s">
        <v>830</v>
      </c>
      <c r="I3" s="4" t="s">
        <v>2900</v>
      </c>
      <c r="J3" t="s">
        <v>1249</v>
      </c>
      <c r="K3" t="s">
        <v>955</v>
      </c>
      <c r="L3" s="4" t="s">
        <v>946</v>
      </c>
      <c r="M3" s="2" t="s">
        <v>874</v>
      </c>
      <c r="N3">
        <v>2010</v>
      </c>
      <c r="O3" t="s">
        <v>830</v>
      </c>
      <c r="P3" t="s">
        <v>830</v>
      </c>
      <c r="Q3" t="s">
        <v>830</v>
      </c>
      <c r="R3" t="s">
        <v>830</v>
      </c>
      <c r="S3" t="s">
        <v>935</v>
      </c>
      <c r="T3" t="s">
        <v>830</v>
      </c>
      <c r="U3" t="s">
        <v>830</v>
      </c>
      <c r="W3" t="s">
        <v>1896</v>
      </c>
      <c r="X3" t="s">
        <v>1890</v>
      </c>
      <c r="Y3" t="s">
        <v>830</v>
      </c>
      <c r="Z3">
        <v>6</v>
      </c>
      <c r="AA3">
        <v>756</v>
      </c>
      <c r="AB3">
        <v>10</v>
      </c>
      <c r="AC3" t="str">
        <f t="shared" si="0"/>
        <v/>
      </c>
      <c r="AE3" t="str">
        <f t="shared" si="1"/>
        <v/>
      </c>
      <c r="AI3" t="str">
        <f t="shared" si="2"/>
        <v/>
      </c>
      <c r="AJ3" t="str">
        <f t="shared" si="3"/>
        <v/>
      </c>
      <c r="AN3" t="str">
        <f>IF(AM3&lt;&gt;"",CONCATENATE(AC3," &amp; ",SUBSTITUTE(AJ3,","," ")," &amp; ",SUBSTITUTE(AF3,"."," ")," &amp; ",AL3," &amp; ",AM3," \\"),"")</f>
        <v/>
      </c>
    </row>
    <row r="4" spans="1:40" x14ac:dyDescent="0.2">
      <c r="A4" t="s">
        <v>9</v>
      </c>
      <c r="B4" t="s">
        <v>10</v>
      </c>
      <c r="C4">
        <v>21</v>
      </c>
      <c r="D4" t="s">
        <v>11</v>
      </c>
      <c r="E4" t="s">
        <v>11</v>
      </c>
      <c r="F4" t="s">
        <v>11</v>
      </c>
      <c r="G4" s="4" t="s">
        <v>944</v>
      </c>
      <c r="H4" t="s">
        <v>830</v>
      </c>
      <c r="I4" s="4" t="s">
        <v>2900</v>
      </c>
      <c r="J4" t="s">
        <v>1588</v>
      </c>
      <c r="K4" t="s">
        <v>839</v>
      </c>
      <c r="L4" s="4" t="s">
        <v>1585</v>
      </c>
      <c r="M4" s="4" t="s">
        <v>1586</v>
      </c>
      <c r="N4" s="3">
        <v>45383</v>
      </c>
      <c r="O4" s="4" t="s">
        <v>830</v>
      </c>
      <c r="P4" s="4" t="s">
        <v>877</v>
      </c>
      <c r="Q4" t="s">
        <v>830</v>
      </c>
      <c r="R4" t="s">
        <v>830</v>
      </c>
      <c r="S4" t="s">
        <v>1587</v>
      </c>
      <c r="T4" t="s">
        <v>830</v>
      </c>
      <c r="U4" t="s">
        <v>830</v>
      </c>
      <c r="W4" t="s">
        <v>1896</v>
      </c>
      <c r="X4" t="s">
        <v>1891</v>
      </c>
      <c r="Y4" t="s">
        <v>830</v>
      </c>
      <c r="Z4">
        <v>6</v>
      </c>
      <c r="AA4">
        <v>755</v>
      </c>
      <c r="AB4">
        <v>11.164</v>
      </c>
      <c r="AC4" t="str">
        <f t="shared" si="0"/>
        <v/>
      </c>
      <c r="AE4" t="str">
        <f t="shared" si="1"/>
        <v/>
      </c>
      <c r="AI4" t="str">
        <f t="shared" si="2"/>
        <v/>
      </c>
      <c r="AJ4" t="str">
        <f t="shared" si="3"/>
        <v/>
      </c>
      <c r="AN4" t="str">
        <f>IF(AM4&lt;&gt;"",CONCATENATE(AC4," &amp; ",SUBSTITUTE(AJ4,","," ")," &amp; ",SUBSTITUTE(AF4,"."," ")," &amp; ",AL4," &amp; ",AM4," \\"),"")</f>
        <v/>
      </c>
    </row>
    <row r="5" spans="1:40" x14ac:dyDescent="0.2">
      <c r="A5" t="s">
        <v>12</v>
      </c>
      <c r="B5" t="s">
        <v>13</v>
      </c>
      <c r="C5">
        <v>0</v>
      </c>
      <c r="D5" t="s">
        <v>14</v>
      </c>
      <c r="E5" t="s">
        <v>15</v>
      </c>
      <c r="F5" t="s">
        <v>16</v>
      </c>
      <c r="G5" s="4" t="s">
        <v>949</v>
      </c>
      <c r="H5" s="4" t="s">
        <v>830</v>
      </c>
      <c r="I5" s="4" t="s">
        <v>2018</v>
      </c>
      <c r="J5" t="s">
        <v>1138</v>
      </c>
      <c r="K5" t="s">
        <v>854</v>
      </c>
      <c r="L5" t="s">
        <v>1558</v>
      </c>
      <c r="M5" s="2" t="s">
        <v>878</v>
      </c>
      <c r="N5">
        <v>2004</v>
      </c>
      <c r="O5" t="s">
        <v>830</v>
      </c>
      <c r="P5" t="s">
        <v>2019</v>
      </c>
      <c r="Q5" s="4" t="s">
        <v>830</v>
      </c>
      <c r="T5" t="s">
        <v>830</v>
      </c>
      <c r="U5" t="s">
        <v>830</v>
      </c>
      <c r="W5" t="s">
        <v>2002</v>
      </c>
      <c r="X5" t="s">
        <v>2020</v>
      </c>
      <c r="Y5" t="s">
        <v>830</v>
      </c>
      <c r="Z5">
        <v>3</v>
      </c>
      <c r="AA5">
        <v>13</v>
      </c>
      <c r="AB5">
        <v>5.59</v>
      </c>
      <c r="AC5" t="str">
        <f t="shared" si="0"/>
        <v>ACSALA</v>
      </c>
      <c r="AD5" t="s">
        <v>14</v>
      </c>
      <c r="AE5" t="str">
        <f t="shared" si="1"/>
        <v>Aspirin</v>
      </c>
      <c r="AF5" t="str">
        <f>AE5</f>
        <v>Aspirin</v>
      </c>
      <c r="AG5" s="15" t="s">
        <v>2885</v>
      </c>
      <c r="AH5" t="s">
        <v>2884</v>
      </c>
      <c r="AI5" t="str">
        <f t="shared" si="2"/>
        <v>CSD,version,5.41</v>
      </c>
      <c r="AJ5" t="str">
        <f t="shared" si="3"/>
        <v>C9,H8,O4</v>
      </c>
      <c r="AL5">
        <v>1</v>
      </c>
      <c r="AM5">
        <v>1</v>
      </c>
      <c r="AN5" t="str">
        <f>IF(AM5&lt;&gt;"",CONCATENATE(AC5," &amp; \ce{",SUBSTITUTE(AJ5,","," "),"} &amp; ",SUBSTITUTE(AF5,"."," ")," &amp; ",AL5," &amp; ",AM5," \\"),"")</f>
        <v>ACSALA &amp; \ce{C9 H8 O4} &amp; Aspirin &amp; 1 &amp; 1 \\</v>
      </c>
    </row>
    <row r="6" spans="1:40" x14ac:dyDescent="0.2">
      <c r="A6" t="s">
        <v>22</v>
      </c>
      <c r="B6" t="s">
        <v>3435</v>
      </c>
      <c r="C6">
        <v>0</v>
      </c>
      <c r="D6" t="s">
        <v>23</v>
      </c>
      <c r="E6" t="s">
        <v>24</v>
      </c>
      <c r="F6" t="s">
        <v>8</v>
      </c>
      <c r="G6" t="s">
        <v>2830</v>
      </c>
      <c r="H6" t="s">
        <v>830</v>
      </c>
      <c r="I6" t="s">
        <v>2385</v>
      </c>
      <c r="J6" t="s">
        <v>1331</v>
      </c>
      <c r="K6" t="s">
        <v>2524</v>
      </c>
      <c r="L6" t="s">
        <v>1805</v>
      </c>
      <c r="M6" t="s">
        <v>876</v>
      </c>
      <c r="N6" t="s">
        <v>1876</v>
      </c>
      <c r="O6" t="s">
        <v>830</v>
      </c>
      <c r="P6" t="s">
        <v>2831</v>
      </c>
      <c r="Q6" t="s">
        <v>830</v>
      </c>
      <c r="T6" t="s">
        <v>830</v>
      </c>
      <c r="U6" t="s">
        <v>830</v>
      </c>
      <c r="W6" t="s">
        <v>2836</v>
      </c>
      <c r="X6" t="s">
        <v>2835</v>
      </c>
      <c r="Y6" t="s">
        <v>830</v>
      </c>
      <c r="Z6">
        <v>1</v>
      </c>
      <c r="AA6">
        <v>365</v>
      </c>
      <c r="AB6">
        <v>25.32</v>
      </c>
      <c r="AC6" t="str">
        <f t="shared" si="0"/>
        <v>AFEBUI</v>
      </c>
      <c r="AD6" t="s">
        <v>2886</v>
      </c>
      <c r="AE6" t="str">
        <f t="shared" si="1"/>
        <v>DipicolinicAcid</v>
      </c>
      <c r="AF6" t="s">
        <v>2933</v>
      </c>
      <c r="AG6" s="15" t="s">
        <v>2887</v>
      </c>
      <c r="AH6" t="s">
        <v>2884</v>
      </c>
      <c r="AI6" t="str">
        <f t="shared" si="2"/>
        <v>CSD,version,6.01,with,Feb,2026,update</v>
      </c>
      <c r="AJ6" t="str">
        <f t="shared" si="3"/>
        <v>C7,H5,N1,O4</v>
      </c>
      <c r="AL6">
        <v>1</v>
      </c>
      <c r="AM6">
        <v>1</v>
      </c>
      <c r="AN6" t="str">
        <f>IF(AM6&lt;&gt;"",CONCATENATE(AC6," &amp; \ce{",SUBSTITUTE(AJ6,","," "),"} &amp; ",SUBSTITUTE(AF6,"."," ")," &amp; ",AL6," &amp; ",AM6," \\"),"")</f>
        <v>AFEBUI &amp; \ce{C7 H5 N1 O4} &amp; Dipicolinic Acid &amp; 1 &amp; 1 \\</v>
      </c>
    </row>
    <row r="7" spans="1:40" x14ac:dyDescent="0.2">
      <c r="A7" t="s">
        <v>1074</v>
      </c>
      <c r="B7" t="s">
        <v>466</v>
      </c>
      <c r="C7">
        <v>0</v>
      </c>
      <c r="D7" t="s">
        <v>467</v>
      </c>
      <c r="E7" t="s">
        <v>2776</v>
      </c>
      <c r="G7" t="s">
        <v>1074</v>
      </c>
      <c r="H7" s="4" t="s">
        <v>830</v>
      </c>
      <c r="I7" t="s">
        <v>2385</v>
      </c>
      <c r="J7" t="s">
        <v>2777</v>
      </c>
      <c r="K7" t="s">
        <v>2524</v>
      </c>
      <c r="L7" t="s">
        <v>1553</v>
      </c>
      <c r="M7" t="s">
        <v>876</v>
      </c>
      <c r="N7" t="s">
        <v>1876</v>
      </c>
      <c r="O7" s="4" t="s">
        <v>830</v>
      </c>
      <c r="P7" s="4" t="s">
        <v>2797</v>
      </c>
      <c r="Q7" s="4" t="s">
        <v>830</v>
      </c>
      <c r="T7" s="4" t="s">
        <v>830</v>
      </c>
      <c r="U7" s="4" t="s">
        <v>830</v>
      </c>
      <c r="W7" t="s">
        <v>2836</v>
      </c>
      <c r="X7" s="4" t="s">
        <v>2800</v>
      </c>
      <c r="Y7" t="s">
        <v>830</v>
      </c>
      <c r="Z7">
        <v>1</v>
      </c>
      <c r="AA7">
        <v>350</v>
      </c>
      <c r="AB7">
        <v>19.52</v>
      </c>
      <c r="AC7" t="str">
        <f t="shared" si="0"/>
        <v>AFIGOO</v>
      </c>
      <c r="AD7" t="s">
        <v>2901</v>
      </c>
      <c r="AE7" t="str">
        <f t="shared" si="1"/>
        <v>OxamicAcid</v>
      </c>
      <c r="AF7" t="s">
        <v>2934</v>
      </c>
      <c r="AG7" s="15" t="s">
        <v>2887</v>
      </c>
      <c r="AH7" t="s">
        <v>2884</v>
      </c>
      <c r="AI7" t="str">
        <f t="shared" si="2"/>
        <v>CSD,version,6.01,with,Feb,2026,update</v>
      </c>
      <c r="AJ7" t="str">
        <f t="shared" si="3"/>
        <v>C2,H3,N1,O3</v>
      </c>
      <c r="AL7">
        <v>1</v>
      </c>
      <c r="AM7">
        <v>1</v>
      </c>
      <c r="AN7" t="str">
        <f>IF(AM7&lt;&gt;"",CONCATENATE(AC7," &amp; \ce{",SUBSTITUTE(AJ7,","," "),"} &amp; ",SUBSTITUTE(AF7,"."," ")," &amp; ",AL7," &amp; ",AM7," \\"),"")</f>
        <v>AFIGOO &amp; \ce{C2 H3 N1 O3} &amp; Oxamic Acid &amp; 1 &amp; 1 \\</v>
      </c>
    </row>
    <row r="8" spans="1:40" x14ac:dyDescent="0.2">
      <c r="A8" t="s">
        <v>25</v>
      </c>
      <c r="B8" t="s">
        <v>26</v>
      </c>
      <c r="C8">
        <v>0</v>
      </c>
      <c r="D8" t="s">
        <v>27</v>
      </c>
      <c r="E8" t="s">
        <v>28</v>
      </c>
      <c r="F8" t="s">
        <v>8</v>
      </c>
      <c r="G8" t="s">
        <v>2561</v>
      </c>
      <c r="H8" s="4" t="s">
        <v>830</v>
      </c>
      <c r="I8" t="s">
        <v>2385</v>
      </c>
      <c r="J8" t="s">
        <v>1123</v>
      </c>
      <c r="K8" t="s">
        <v>838</v>
      </c>
      <c r="L8" t="s">
        <v>1558</v>
      </c>
      <c r="M8" s="2" t="s">
        <v>880</v>
      </c>
      <c r="N8">
        <v>2005</v>
      </c>
      <c r="O8" t="s">
        <v>830</v>
      </c>
      <c r="P8" t="s">
        <v>2562</v>
      </c>
      <c r="Q8" t="s">
        <v>830</v>
      </c>
      <c r="T8" t="s">
        <v>830</v>
      </c>
      <c r="U8" t="s">
        <v>830</v>
      </c>
      <c r="W8" t="s">
        <v>2526</v>
      </c>
      <c r="X8" t="s">
        <v>2563</v>
      </c>
      <c r="Y8" t="s">
        <v>830</v>
      </c>
      <c r="Z8">
        <v>1</v>
      </c>
      <c r="AA8">
        <v>28</v>
      </c>
      <c r="AB8">
        <v>9.49</v>
      </c>
      <c r="AC8" t="str">
        <f t="shared" si="0"/>
        <v>ALOXAN</v>
      </c>
      <c r="AD8" t="s">
        <v>27</v>
      </c>
      <c r="AE8" t="str">
        <f t="shared" si="1"/>
        <v>Alloxan</v>
      </c>
      <c r="AF8" t="str">
        <f>AE8</f>
        <v>Alloxan</v>
      </c>
      <c r="AG8" s="15" t="s">
        <v>2889</v>
      </c>
      <c r="AH8" t="s">
        <v>2884</v>
      </c>
      <c r="AI8" t="str">
        <f t="shared" si="2"/>
        <v>CSD,version,6.01,with,Feb,2026,update</v>
      </c>
      <c r="AJ8" t="str">
        <f t="shared" si="3"/>
        <v>C4,H2,N2,O4</v>
      </c>
      <c r="AL8">
        <v>1</v>
      </c>
      <c r="AM8">
        <v>1</v>
      </c>
      <c r="AN8" t="str">
        <f>IF(AM8&lt;&gt;"",CONCATENATE(AC8," &amp; \ce{",SUBSTITUTE(AJ8,","," "),"} &amp; ",SUBSTITUTE(AF8,"."," ")," &amp; ",AL8," &amp; ",AM8," \\"),"")</f>
        <v>ALOXAN &amp; \ce{C4 H2 N2 O4} &amp; Alloxan &amp; 1 &amp; 1 \\</v>
      </c>
    </row>
    <row r="9" spans="1:40" x14ac:dyDescent="0.2">
      <c r="A9" t="s">
        <v>29</v>
      </c>
      <c r="B9" t="s">
        <v>30</v>
      </c>
      <c r="C9">
        <v>10</v>
      </c>
      <c r="D9" t="s">
        <v>31</v>
      </c>
      <c r="E9" t="s">
        <v>32</v>
      </c>
      <c r="F9" t="s">
        <v>8</v>
      </c>
      <c r="G9" t="s">
        <v>2443</v>
      </c>
      <c r="H9" t="s">
        <v>830</v>
      </c>
      <c r="I9" t="s">
        <v>2385</v>
      </c>
      <c r="J9" t="s">
        <v>1134</v>
      </c>
      <c r="K9" t="s">
        <v>852</v>
      </c>
      <c r="L9" t="s">
        <v>2435</v>
      </c>
      <c r="M9" t="s">
        <v>1491</v>
      </c>
      <c r="N9">
        <v>2009</v>
      </c>
      <c r="O9" t="s">
        <v>830</v>
      </c>
      <c r="P9" t="s">
        <v>1491</v>
      </c>
      <c r="Q9" t="s">
        <v>830</v>
      </c>
      <c r="T9" t="s">
        <v>830</v>
      </c>
      <c r="U9" t="s">
        <v>830</v>
      </c>
      <c r="W9" t="s">
        <v>2479</v>
      </c>
      <c r="X9" t="s">
        <v>2447</v>
      </c>
      <c r="Y9" t="s">
        <v>830</v>
      </c>
      <c r="Z9">
        <v>1</v>
      </c>
      <c r="AA9">
        <v>59</v>
      </c>
      <c r="AB9">
        <v>26.512</v>
      </c>
      <c r="AC9" t="str">
        <f t="shared" si="0"/>
        <v>AMBNAC</v>
      </c>
      <c r="AD9" t="s">
        <v>2890</v>
      </c>
      <c r="AE9" t="str">
        <f t="shared" si="1"/>
        <v>AminobenzoicAcid</v>
      </c>
      <c r="AF9" t="s">
        <v>2935</v>
      </c>
      <c r="AG9" s="15" t="s">
        <v>2889</v>
      </c>
      <c r="AH9" t="s">
        <v>2888</v>
      </c>
      <c r="AI9" t="str">
        <f t="shared" si="2"/>
        <v>CSD,version,6.01,with,Feb,2026,update</v>
      </c>
      <c r="AJ9" t="str">
        <f t="shared" si="3"/>
        <v>C7,H7,N1,O2</v>
      </c>
      <c r="AL9">
        <v>1</v>
      </c>
      <c r="AM9">
        <v>3</v>
      </c>
      <c r="AN9" t="str">
        <f>IF(AM9&lt;&gt;"",CONCATENATE(AC9," &amp; \ce{",SUBSTITUTE(AJ9,","," "),"} &amp; ",SUBSTITUTE(AF9,"."," ")," &amp; ",AL9," &amp; ",AM9," \\"),"")</f>
        <v>AMBNAC &amp; \ce{C7 H7 N1 O2} &amp; Aminobenzoic Acid &amp; 1 &amp; 3 \\</v>
      </c>
    </row>
    <row r="10" spans="1:40" x14ac:dyDescent="0.2">
      <c r="A10" t="s">
        <v>29</v>
      </c>
      <c r="B10" t="s">
        <v>30</v>
      </c>
      <c r="C10">
        <v>11</v>
      </c>
      <c r="D10" t="s">
        <v>31</v>
      </c>
      <c r="E10" t="s">
        <v>32</v>
      </c>
      <c r="F10" t="s">
        <v>8</v>
      </c>
      <c r="G10" t="s">
        <v>2443</v>
      </c>
      <c r="H10" t="s">
        <v>830</v>
      </c>
      <c r="I10" t="s">
        <v>2385</v>
      </c>
      <c r="J10" t="s">
        <v>1136</v>
      </c>
      <c r="K10" t="s">
        <v>852</v>
      </c>
      <c r="L10" t="s">
        <v>2434</v>
      </c>
      <c r="M10" t="s">
        <v>1491</v>
      </c>
      <c r="N10">
        <v>2009</v>
      </c>
      <c r="O10" t="s">
        <v>830</v>
      </c>
      <c r="P10" t="s">
        <v>1491</v>
      </c>
      <c r="Q10" t="s">
        <v>830</v>
      </c>
      <c r="T10" t="s">
        <v>830</v>
      </c>
      <c r="U10" t="s">
        <v>830</v>
      </c>
      <c r="W10" t="s">
        <v>2479</v>
      </c>
      <c r="X10" t="s">
        <v>2448</v>
      </c>
      <c r="Y10" t="s">
        <v>830</v>
      </c>
      <c r="Z10">
        <v>1</v>
      </c>
      <c r="AA10">
        <v>605</v>
      </c>
      <c r="AB10">
        <v>37.685000000000002</v>
      </c>
      <c r="AC10" t="str">
        <f t="shared" si="0"/>
        <v/>
      </c>
      <c r="AE10" t="str">
        <f t="shared" si="1"/>
        <v/>
      </c>
      <c r="AI10" t="str">
        <f t="shared" si="2"/>
        <v/>
      </c>
      <c r="AJ10" t="str">
        <f t="shared" si="3"/>
        <v/>
      </c>
      <c r="AN10" t="str">
        <f>IF(AM10&lt;&gt;"",CONCATENATE(AC10," &amp; ",SUBSTITUTE(AJ10,","," ")," &amp; ",SUBSTITUTE(AF10,"."," ")," &amp; ",AL10," &amp; ",AM10," \\"),"")</f>
        <v/>
      </c>
    </row>
    <row r="11" spans="1:40" x14ac:dyDescent="0.2">
      <c r="A11" t="s">
        <v>29</v>
      </c>
      <c r="B11" t="s">
        <v>30</v>
      </c>
      <c r="C11">
        <v>12</v>
      </c>
      <c r="D11" t="s">
        <v>31</v>
      </c>
      <c r="E11" t="s">
        <v>32</v>
      </c>
      <c r="F11" t="s">
        <v>8</v>
      </c>
      <c r="G11" t="s">
        <v>2443</v>
      </c>
      <c r="H11" t="s">
        <v>830</v>
      </c>
      <c r="I11" t="s">
        <v>2385</v>
      </c>
      <c r="J11" t="s">
        <v>1135</v>
      </c>
      <c r="K11" t="s">
        <v>852</v>
      </c>
      <c r="L11" t="s">
        <v>2430</v>
      </c>
      <c r="M11" s="1" t="s">
        <v>2444</v>
      </c>
      <c r="N11">
        <v>2009</v>
      </c>
      <c r="O11" t="s">
        <v>830</v>
      </c>
      <c r="P11" t="s">
        <v>2437</v>
      </c>
      <c r="Q11" t="s">
        <v>830</v>
      </c>
      <c r="T11" t="s">
        <v>830</v>
      </c>
      <c r="U11" t="s">
        <v>830</v>
      </c>
      <c r="W11" t="s">
        <v>2479</v>
      </c>
      <c r="X11" t="s">
        <v>2449</v>
      </c>
      <c r="Y11" t="s">
        <v>830</v>
      </c>
      <c r="Z11">
        <v>1</v>
      </c>
      <c r="AA11">
        <v>25</v>
      </c>
      <c r="AB11">
        <v>10.72</v>
      </c>
      <c r="AC11" t="str">
        <f t="shared" si="0"/>
        <v/>
      </c>
      <c r="AE11" t="str">
        <f t="shared" si="1"/>
        <v/>
      </c>
      <c r="AI11" t="str">
        <f t="shared" si="2"/>
        <v/>
      </c>
      <c r="AJ11" t="str">
        <f t="shared" si="3"/>
        <v/>
      </c>
      <c r="AN11" t="str">
        <f>IF(AM11&lt;&gt;"",CONCATENATE(AC11," &amp; ",SUBSTITUTE(AJ11,","," ")," &amp; ",SUBSTITUTE(AF11,"."," ")," &amp; ",AL11," &amp; ",AM11," \\"),"")</f>
        <v/>
      </c>
    </row>
    <row r="12" spans="1:40" ht="15" x14ac:dyDescent="0.25">
      <c r="A12" t="s">
        <v>33</v>
      </c>
      <c r="B12" s="17" t="s">
        <v>634</v>
      </c>
      <c r="C12">
        <v>0</v>
      </c>
      <c r="D12" t="s">
        <v>34</v>
      </c>
      <c r="E12" t="s">
        <v>34</v>
      </c>
      <c r="F12" t="s">
        <v>34</v>
      </c>
      <c r="G12" t="s">
        <v>2033</v>
      </c>
      <c r="H12" t="s">
        <v>830</v>
      </c>
      <c r="I12" t="s">
        <v>1952</v>
      </c>
      <c r="J12" t="s">
        <v>1104</v>
      </c>
      <c r="K12" t="s">
        <v>843</v>
      </c>
      <c r="L12" t="s">
        <v>1553</v>
      </c>
      <c r="M12" t="s">
        <v>909</v>
      </c>
      <c r="N12" t="s">
        <v>1876</v>
      </c>
      <c r="O12" t="s">
        <v>830</v>
      </c>
      <c r="P12" t="s">
        <v>2032</v>
      </c>
      <c r="Q12" t="s">
        <v>830</v>
      </c>
      <c r="T12" t="s">
        <v>830</v>
      </c>
      <c r="U12" t="s">
        <v>830</v>
      </c>
      <c r="W12" t="s">
        <v>2034</v>
      </c>
      <c r="X12" t="s">
        <v>2037</v>
      </c>
      <c r="Y12" t="s">
        <v>830</v>
      </c>
      <c r="Z12">
        <v>1</v>
      </c>
      <c r="AA12">
        <v>244</v>
      </c>
      <c r="AB12">
        <v>15</v>
      </c>
      <c r="AC12" t="str">
        <f t="shared" si="0"/>
        <v>AMBZAM</v>
      </c>
      <c r="AD12" t="s">
        <v>2891</v>
      </c>
      <c r="AE12" t="str">
        <f t="shared" si="1"/>
        <v>4aminobenzamide</v>
      </c>
      <c r="AF12" t="s">
        <v>34</v>
      </c>
      <c r="AG12" s="15" t="s">
        <v>2894</v>
      </c>
      <c r="AH12" t="s">
        <v>2884</v>
      </c>
      <c r="AI12" t="str">
        <f t="shared" si="2"/>
        <v>CSD,version,6.01</v>
      </c>
      <c r="AJ12" t="str">
        <f t="shared" si="3"/>
        <v>C7,H8,N2,O1</v>
      </c>
      <c r="AL12">
        <v>1</v>
      </c>
      <c r="AM12">
        <v>1</v>
      </c>
      <c r="AN12" t="str">
        <f>IF(AM12&lt;&gt;"",CONCATENATE(AC12," &amp; \ce{",SUBSTITUTE(AJ12,","," "),"} &amp; ",SUBSTITUTE(AF12,"."," ")," &amp; ",AL12," &amp; ",AM12," \\"),"")</f>
        <v>AMBZAM &amp; \ce{C7 H8 N2 O1} &amp; 4-aminobenzamide &amp; 1 &amp; 1 \\</v>
      </c>
    </row>
    <row r="13" spans="1:40" x14ac:dyDescent="0.2">
      <c r="A13" t="s">
        <v>35</v>
      </c>
      <c r="B13" t="s">
        <v>36</v>
      </c>
      <c r="C13">
        <v>0</v>
      </c>
      <c r="D13" t="s">
        <v>37</v>
      </c>
      <c r="E13" t="s">
        <v>38</v>
      </c>
      <c r="F13" t="s">
        <v>8</v>
      </c>
      <c r="G13" t="s">
        <v>35</v>
      </c>
      <c r="H13" t="s">
        <v>830</v>
      </c>
      <c r="I13" t="s">
        <v>1884</v>
      </c>
      <c r="J13" t="s">
        <v>1415</v>
      </c>
      <c r="K13" t="s">
        <v>839</v>
      </c>
      <c r="L13" t="s">
        <v>1805</v>
      </c>
      <c r="M13" t="s">
        <v>876</v>
      </c>
      <c r="N13">
        <v>2012</v>
      </c>
      <c r="O13" t="s">
        <v>830</v>
      </c>
      <c r="Q13" t="s">
        <v>830</v>
      </c>
      <c r="T13" t="s">
        <v>830</v>
      </c>
      <c r="U13" t="s">
        <v>830</v>
      </c>
      <c r="W13" t="s">
        <v>1957</v>
      </c>
      <c r="X13" t="s">
        <v>1930</v>
      </c>
      <c r="Y13" t="s">
        <v>830</v>
      </c>
      <c r="Z13">
        <v>1</v>
      </c>
      <c r="AA13">
        <v>1512</v>
      </c>
      <c r="AB13">
        <v>30</v>
      </c>
      <c r="AC13" t="str">
        <f t="shared" si="0"/>
        <v>AMOXAP</v>
      </c>
      <c r="AD13" t="s">
        <v>2902</v>
      </c>
      <c r="AE13" t="str">
        <f t="shared" si="1"/>
        <v>Amoxapine</v>
      </c>
      <c r="AF13" t="str">
        <f>AE13</f>
        <v>Amoxapine</v>
      </c>
      <c r="AG13" s="15" t="s">
        <v>2885</v>
      </c>
      <c r="AH13" t="s">
        <v>2906</v>
      </c>
      <c r="AI13" t="str">
        <f t="shared" si="2"/>
        <v>CSD,version,5.46,with,Feb,2025,update</v>
      </c>
      <c r="AJ13" t="str">
        <f t="shared" si="3"/>
        <v>C17,H16,N3,O1,Cl1</v>
      </c>
      <c r="AK13" t="s">
        <v>3417</v>
      </c>
      <c r="AL13">
        <v>2</v>
      </c>
      <c r="AM13">
        <v>3</v>
      </c>
      <c r="AN13" t="str">
        <f>IF(AM13&lt;&gt;"",CONCATENATE(AC13," &amp; \ce{",SUBSTITUTE(AJ13,","," "),"} &amp; ",SUBSTITUTE(AF13,"."," ")," &amp; ",AL13," &amp; ",AM13," \\"),"")</f>
        <v>AMOXAP &amp; \ce{C17 H16 N3 O1 Cl1} &amp; Amoxapine &amp; 2 &amp; 3 \\</v>
      </c>
    </row>
    <row r="14" spans="1:40" x14ac:dyDescent="0.2">
      <c r="A14" t="s">
        <v>35</v>
      </c>
      <c r="B14" t="s">
        <v>36</v>
      </c>
      <c r="C14">
        <v>10</v>
      </c>
      <c r="D14" t="s">
        <v>37</v>
      </c>
      <c r="E14" t="s">
        <v>38</v>
      </c>
      <c r="F14" t="s">
        <v>8</v>
      </c>
      <c r="G14" t="s">
        <v>35</v>
      </c>
      <c r="H14" t="s">
        <v>830</v>
      </c>
      <c r="I14" t="s">
        <v>1884</v>
      </c>
      <c r="J14" t="s">
        <v>1413</v>
      </c>
      <c r="K14" t="s">
        <v>839</v>
      </c>
      <c r="L14" t="s">
        <v>1929</v>
      </c>
      <c r="M14" t="s">
        <v>876</v>
      </c>
      <c r="N14">
        <v>2015</v>
      </c>
      <c r="O14" t="s">
        <v>830</v>
      </c>
      <c r="Q14" t="s">
        <v>830</v>
      </c>
      <c r="T14" t="s">
        <v>830</v>
      </c>
      <c r="U14" t="s">
        <v>830</v>
      </c>
      <c r="W14" t="s">
        <v>1957</v>
      </c>
      <c r="X14" t="s">
        <v>1931</v>
      </c>
      <c r="Y14" t="s">
        <v>830</v>
      </c>
      <c r="Z14">
        <v>1</v>
      </c>
      <c r="AA14">
        <v>3634</v>
      </c>
      <c r="AB14">
        <v>30</v>
      </c>
      <c r="AC14" t="str">
        <f t="shared" si="0"/>
        <v/>
      </c>
      <c r="AE14" t="str">
        <f t="shared" si="1"/>
        <v/>
      </c>
      <c r="AI14" t="str">
        <f t="shared" si="2"/>
        <v/>
      </c>
      <c r="AJ14" t="str">
        <f t="shared" si="3"/>
        <v/>
      </c>
      <c r="AN14" t="str">
        <f>IF(AM14&lt;&gt;"",CONCATENATE(AC14," &amp; ",SUBSTITUTE(AJ14,","," ")," &amp; ",SUBSTITUTE(AF14,"."," ")," &amp; ",AL14," &amp; ",AM14," \\"),"")</f>
        <v/>
      </c>
    </row>
    <row r="15" spans="1:40" x14ac:dyDescent="0.2">
      <c r="A15" t="s">
        <v>35</v>
      </c>
      <c r="B15" t="s">
        <v>36</v>
      </c>
      <c r="C15">
        <v>20</v>
      </c>
      <c r="D15" t="s">
        <v>37</v>
      </c>
      <c r="E15" t="s">
        <v>38</v>
      </c>
      <c r="F15" t="s">
        <v>8</v>
      </c>
      <c r="G15" t="s">
        <v>35</v>
      </c>
      <c r="H15" t="s">
        <v>830</v>
      </c>
      <c r="I15" t="s">
        <v>1884</v>
      </c>
      <c r="J15" t="s">
        <v>1414</v>
      </c>
      <c r="K15" t="s">
        <v>839</v>
      </c>
      <c r="L15" t="s">
        <v>1928</v>
      </c>
      <c r="M15" t="s">
        <v>876</v>
      </c>
      <c r="N15">
        <v>2015</v>
      </c>
      <c r="O15" t="s">
        <v>830</v>
      </c>
      <c r="Q15" t="s">
        <v>830</v>
      </c>
      <c r="T15" t="s">
        <v>830</v>
      </c>
      <c r="U15" t="s">
        <v>830</v>
      </c>
      <c r="W15" t="s">
        <v>1957</v>
      </c>
      <c r="X15" t="s">
        <v>1932</v>
      </c>
      <c r="Y15" t="s">
        <v>830</v>
      </c>
      <c r="Z15">
        <v>1</v>
      </c>
      <c r="AA15">
        <v>6801</v>
      </c>
      <c r="AB15">
        <v>30</v>
      </c>
      <c r="AC15" t="str">
        <f t="shared" si="0"/>
        <v/>
      </c>
      <c r="AE15" t="str">
        <f t="shared" si="1"/>
        <v/>
      </c>
      <c r="AI15" t="str">
        <f t="shared" si="2"/>
        <v/>
      </c>
      <c r="AJ15" t="str">
        <f t="shared" si="3"/>
        <v/>
      </c>
      <c r="AN15" t="str">
        <f>IF(AM15&lt;&gt;"",CONCATENATE(AC15," &amp; ",SUBSTITUTE(AJ15,","," ")," &amp; ",SUBSTITUTE(AF15,"."," ")," &amp; ",AL15," &amp; ",AM15," \\"),"")</f>
        <v/>
      </c>
    </row>
    <row r="16" spans="1:40" x14ac:dyDescent="0.2">
      <c r="A16" t="s">
        <v>39</v>
      </c>
      <c r="B16" t="s">
        <v>40</v>
      </c>
      <c r="C16">
        <v>0</v>
      </c>
      <c r="D16" t="s">
        <v>41</v>
      </c>
      <c r="E16" t="s">
        <v>42</v>
      </c>
      <c r="F16" t="s">
        <v>8</v>
      </c>
      <c r="G16" t="s">
        <v>43</v>
      </c>
      <c r="H16" t="s">
        <v>830</v>
      </c>
      <c r="I16" t="s">
        <v>2385</v>
      </c>
      <c r="J16" t="s">
        <v>1137</v>
      </c>
      <c r="K16" t="s">
        <v>2524</v>
      </c>
      <c r="L16" t="s">
        <v>1553</v>
      </c>
      <c r="M16" t="s">
        <v>876</v>
      </c>
      <c r="N16" t="s">
        <v>1876</v>
      </c>
      <c r="O16" t="s">
        <v>830</v>
      </c>
      <c r="P16" t="s">
        <v>2832</v>
      </c>
      <c r="Q16" t="s">
        <v>830</v>
      </c>
      <c r="T16" t="s">
        <v>830</v>
      </c>
      <c r="U16" t="s">
        <v>830</v>
      </c>
      <c r="W16" t="s">
        <v>2836</v>
      </c>
      <c r="X16" t="s">
        <v>2834</v>
      </c>
      <c r="Y16" t="s">
        <v>830</v>
      </c>
      <c r="Z16">
        <v>1</v>
      </c>
      <c r="AA16">
        <v>67</v>
      </c>
      <c r="AB16">
        <v>5</v>
      </c>
      <c r="AC16" t="str">
        <f t="shared" si="0"/>
        <v>ANTCEN</v>
      </c>
      <c r="AD16" t="s">
        <v>41</v>
      </c>
      <c r="AE16" t="str">
        <f t="shared" si="1"/>
        <v>Anthracene</v>
      </c>
      <c r="AF16" t="str">
        <f>AE16</f>
        <v>Anthracene</v>
      </c>
      <c r="AG16" s="15" t="s">
        <v>2887</v>
      </c>
      <c r="AH16" t="s">
        <v>2884</v>
      </c>
      <c r="AI16" t="str">
        <f t="shared" si="2"/>
        <v>CSD,version,6.01,with,Feb,2026,update</v>
      </c>
      <c r="AJ16" t="str">
        <f t="shared" si="3"/>
        <v>C14,H10</v>
      </c>
      <c r="AL16">
        <v>1</v>
      </c>
      <c r="AM16">
        <v>1</v>
      </c>
      <c r="AN16" t="str">
        <f>IF(AM16&lt;&gt;"",CONCATENATE(AC16," &amp; \ce{",SUBSTITUTE(AJ16,","," "),"} &amp; ",SUBSTITUTE(AF16,"."," ")," &amp; ",AL16," &amp; ",AM16," \\"),"")</f>
        <v>ANTCEN &amp; \ce{C14 H10} &amp; Anthracene &amp; 1 &amp; 1 \\</v>
      </c>
    </row>
    <row r="17" spans="1:40" ht="15" x14ac:dyDescent="0.25">
      <c r="A17" t="s">
        <v>44</v>
      </c>
      <c r="B17" s="17" t="s">
        <v>3317</v>
      </c>
      <c r="C17">
        <v>20</v>
      </c>
      <c r="D17" t="s">
        <v>45</v>
      </c>
      <c r="E17" t="s">
        <v>46</v>
      </c>
      <c r="F17" t="s">
        <v>8</v>
      </c>
      <c r="G17" t="s">
        <v>835</v>
      </c>
      <c r="H17" t="s">
        <v>830</v>
      </c>
      <c r="I17" t="s">
        <v>2385</v>
      </c>
      <c r="J17" t="s">
        <v>1160</v>
      </c>
      <c r="K17" t="s">
        <v>851</v>
      </c>
      <c r="L17" t="s">
        <v>2660</v>
      </c>
      <c r="M17" t="s">
        <v>2445</v>
      </c>
      <c r="N17">
        <v>2009</v>
      </c>
      <c r="O17" t="s">
        <v>830</v>
      </c>
      <c r="P17" t="s">
        <v>2661</v>
      </c>
      <c r="Q17" t="s">
        <v>830</v>
      </c>
      <c r="T17" t="s">
        <v>830</v>
      </c>
      <c r="U17" t="s">
        <v>830</v>
      </c>
      <c r="W17" t="s">
        <v>2653</v>
      </c>
      <c r="X17" t="s">
        <v>2662</v>
      </c>
      <c r="Y17" t="s">
        <v>830</v>
      </c>
      <c r="Z17">
        <v>0</v>
      </c>
      <c r="AA17">
        <v>43</v>
      </c>
      <c r="AB17">
        <v>18.11</v>
      </c>
      <c r="AC17" t="str">
        <f t="shared" si="0"/>
        <v>AVCZPA</v>
      </c>
      <c r="AD17" t="s">
        <v>3095</v>
      </c>
      <c r="AE17" t="str">
        <f t="shared" si="1"/>
        <v>CarbamazepinePicolinamide</v>
      </c>
      <c r="AF17" t="s">
        <v>3110</v>
      </c>
      <c r="AG17" s="15" t="s">
        <v>3132</v>
      </c>
      <c r="AH17" t="s">
        <v>2884</v>
      </c>
      <c r="AI17" t="str">
        <f t="shared" si="2"/>
        <v>CSD,version,6.01,with,Feb,2026,update</v>
      </c>
      <c r="AJ17" t="str">
        <f t="shared" si="3"/>
        <v>C15,H12,N2,O1,.,C6,H6,N2,O1</v>
      </c>
      <c r="AK17" t="s">
        <v>3127</v>
      </c>
      <c r="AL17">
        <v>1</v>
      </c>
      <c r="AM17">
        <v>1</v>
      </c>
      <c r="AN17" t="str">
        <f>IF(AM17&lt;&gt;"",CONCATENATE(AC17," &amp; \ce{",SUBSTITUTE(AJ17,","," "),"} &amp; ",SUBSTITUTE(AF17,"."," ")," &amp; ",AL17," &amp; ",AM17," \\"),"")</f>
        <v>AVCZPA &amp; \ce{C15 H12 N2 O1 . C6 H6 N2 O1} &amp; Carbamazepine Picolinamide cocrystal &amp; 1 &amp; 1 \\</v>
      </c>
    </row>
    <row r="18" spans="1:40" x14ac:dyDescent="0.2">
      <c r="A18" t="s">
        <v>47</v>
      </c>
      <c r="B18" t="s">
        <v>48</v>
      </c>
      <c r="C18">
        <v>0</v>
      </c>
      <c r="D18" t="s">
        <v>49</v>
      </c>
      <c r="E18" t="s">
        <v>49</v>
      </c>
      <c r="F18" s="4" t="s">
        <v>2255</v>
      </c>
      <c r="G18" t="s">
        <v>47</v>
      </c>
      <c r="H18" t="s">
        <v>830</v>
      </c>
      <c r="I18" t="s">
        <v>1952</v>
      </c>
      <c r="J18" t="s">
        <v>1145</v>
      </c>
      <c r="K18" t="s">
        <v>1551</v>
      </c>
      <c r="L18" t="s">
        <v>1553</v>
      </c>
      <c r="M18" t="s">
        <v>2257</v>
      </c>
      <c r="N18">
        <v>2008</v>
      </c>
      <c r="O18" t="s">
        <v>830</v>
      </c>
      <c r="P18" t="s">
        <v>2292</v>
      </c>
      <c r="Q18" t="s">
        <v>830</v>
      </c>
      <c r="T18" t="s">
        <v>830</v>
      </c>
      <c r="U18" t="s">
        <v>830</v>
      </c>
      <c r="W18" t="s">
        <v>2281</v>
      </c>
      <c r="X18" t="s">
        <v>2294</v>
      </c>
      <c r="Y18" t="s">
        <v>830</v>
      </c>
      <c r="Z18">
        <v>1</v>
      </c>
      <c r="AA18">
        <v>413</v>
      </c>
      <c r="AB18">
        <v>10</v>
      </c>
      <c r="AC18" t="str">
        <f t="shared" si="0"/>
        <v>AXOSOW</v>
      </c>
      <c r="AD18" t="s">
        <v>2872</v>
      </c>
      <c r="AE18" t="str">
        <f t="shared" si="1"/>
        <v>BTXII</v>
      </c>
      <c r="AF18" t="s">
        <v>3005</v>
      </c>
      <c r="AG18" s="15" t="s">
        <v>2919</v>
      </c>
      <c r="AH18" t="s">
        <v>2884</v>
      </c>
      <c r="AI18" t="str">
        <f t="shared" si="2"/>
        <v>CSD,version,6.01</v>
      </c>
      <c r="AJ18" t="str">
        <f t="shared" si="3"/>
        <v>C3,H4,O1</v>
      </c>
      <c r="AK18" t="s">
        <v>3059</v>
      </c>
      <c r="AL18">
        <v>1</v>
      </c>
      <c r="AM18">
        <v>2</v>
      </c>
      <c r="AN18" t="str">
        <f>IF(AM18&lt;&gt;"",CONCATENATE(AC18," &amp; \ce{",SUBSTITUTE(AJ18,","," "),"} &amp; ",SUBSTITUTE(AF18,"."," ")," &amp; ",AL18," &amp; ",AM18," \\"),"")</f>
        <v>AXOSOW &amp; \ce{C3 H4 O1} &amp; Propenal (Blind Test XII) &amp; 1 &amp; 2 \\</v>
      </c>
    </row>
    <row r="19" spans="1:40" x14ac:dyDescent="0.2">
      <c r="A19" t="s">
        <v>47</v>
      </c>
      <c r="B19" t="s">
        <v>48</v>
      </c>
      <c r="C19">
        <v>1</v>
      </c>
      <c r="D19" t="s">
        <v>49</v>
      </c>
      <c r="E19" t="s">
        <v>49</v>
      </c>
      <c r="F19" s="4" t="s">
        <v>2255</v>
      </c>
      <c r="G19" t="s">
        <v>47</v>
      </c>
      <c r="H19" t="s">
        <v>830</v>
      </c>
      <c r="I19" t="s">
        <v>1952</v>
      </c>
      <c r="J19" t="s">
        <v>1146</v>
      </c>
      <c r="K19" t="s">
        <v>1551</v>
      </c>
      <c r="L19" t="s">
        <v>2291</v>
      </c>
      <c r="M19" t="s">
        <v>881</v>
      </c>
      <c r="N19">
        <v>2008</v>
      </c>
      <c r="O19" t="s">
        <v>830</v>
      </c>
      <c r="P19" t="s">
        <v>2293</v>
      </c>
      <c r="Q19" t="s">
        <v>830</v>
      </c>
      <c r="T19" t="s">
        <v>830</v>
      </c>
      <c r="U19" t="s">
        <v>830</v>
      </c>
      <c r="W19" t="s">
        <v>2281</v>
      </c>
      <c r="X19" t="s">
        <v>2295</v>
      </c>
      <c r="Y19" t="s">
        <v>830</v>
      </c>
      <c r="Z19">
        <v>1</v>
      </c>
      <c r="AA19">
        <v>330</v>
      </c>
      <c r="AB19">
        <v>20</v>
      </c>
      <c r="AC19" t="str">
        <f t="shared" si="0"/>
        <v/>
      </c>
      <c r="AE19" t="str">
        <f t="shared" si="1"/>
        <v/>
      </c>
      <c r="AI19" t="str">
        <f t="shared" si="2"/>
        <v/>
      </c>
      <c r="AJ19" t="str">
        <f t="shared" si="3"/>
        <v/>
      </c>
      <c r="AN19" t="str">
        <f>IF(AM19&lt;&gt;"",CONCATENATE(AC19," &amp; ",SUBSTITUTE(AJ19,","," ")," &amp; ",SUBSTITUTE(AF19,"."," ")," &amp; ",AL19," &amp; ",AM19," \\"),"")</f>
        <v/>
      </c>
    </row>
    <row r="20" spans="1:40" x14ac:dyDescent="0.2">
      <c r="A20" s="4" t="s">
        <v>1071</v>
      </c>
      <c r="B20" t="s">
        <v>362</v>
      </c>
      <c r="C20">
        <v>0</v>
      </c>
      <c r="D20" t="s">
        <v>363</v>
      </c>
      <c r="E20" t="s">
        <v>364</v>
      </c>
      <c r="F20" t="s">
        <v>1864</v>
      </c>
      <c r="G20" s="4" t="s">
        <v>1866</v>
      </c>
      <c r="H20" t="s">
        <v>830</v>
      </c>
      <c r="I20" t="s">
        <v>1863</v>
      </c>
      <c r="J20" t="s">
        <v>1359</v>
      </c>
      <c r="K20" t="s">
        <v>861</v>
      </c>
      <c r="L20" t="s">
        <v>1865</v>
      </c>
      <c r="M20" t="s">
        <v>2593</v>
      </c>
      <c r="N20">
        <v>2013</v>
      </c>
      <c r="O20" t="s">
        <v>830</v>
      </c>
      <c r="P20" t="s">
        <v>1810</v>
      </c>
      <c r="Q20" t="s">
        <v>830</v>
      </c>
      <c r="T20" t="s">
        <v>830</v>
      </c>
      <c r="U20" t="s">
        <v>830</v>
      </c>
      <c r="W20" t="s">
        <v>1869</v>
      </c>
      <c r="X20" t="s">
        <v>3193</v>
      </c>
      <c r="Y20" t="s">
        <v>830</v>
      </c>
      <c r="Z20">
        <v>3</v>
      </c>
      <c r="AA20">
        <v>716</v>
      </c>
      <c r="AB20">
        <v>24.22</v>
      </c>
      <c r="AC20" t="str">
        <f t="shared" si="0"/>
        <v>AXUBUR</v>
      </c>
      <c r="AD20" t="s">
        <v>3194</v>
      </c>
      <c r="AE20" t="str">
        <f t="shared" si="1"/>
        <v>2-fluoroethynylbenzene</v>
      </c>
      <c r="AF20" t="s">
        <v>3196</v>
      </c>
      <c r="AG20" s="15" t="s">
        <v>3195</v>
      </c>
      <c r="AH20" t="s">
        <v>2884</v>
      </c>
      <c r="AI20" t="str">
        <f t="shared" si="2"/>
        <v>CSD,version,5.45,with,Mar,,Jun,and,Sep,2024,updates</v>
      </c>
      <c r="AJ20" t="str">
        <f t="shared" si="3"/>
        <v>C8,H5,F1</v>
      </c>
      <c r="AL20">
        <v>1</v>
      </c>
      <c r="AM20">
        <v>2</v>
      </c>
      <c r="AN20" t="str">
        <f>IF(AM20&lt;&gt;"",CONCATENATE(AC20," &amp; \ce{",SUBSTITUTE(AJ20,","," "),"} &amp; ",SUBSTITUTE(AF20,"."," ")," &amp; ",AL20," &amp; ",AM20," \\"),"")</f>
        <v>AXUBUR &amp; \ce{C8 H5 F1} &amp; 2-Fluoro Ethynyl Benzene &amp; 1 &amp; 2 \\</v>
      </c>
    </row>
    <row r="21" spans="1:40" x14ac:dyDescent="0.2">
      <c r="A21" s="4" t="s">
        <v>1071</v>
      </c>
      <c r="B21" t="s">
        <v>362</v>
      </c>
      <c r="C21">
        <v>1</v>
      </c>
      <c r="D21" t="s">
        <v>363</v>
      </c>
      <c r="E21" t="s">
        <v>364</v>
      </c>
      <c r="F21" t="s">
        <v>1864</v>
      </c>
      <c r="G21" s="4" t="s">
        <v>1866</v>
      </c>
      <c r="H21" t="s">
        <v>830</v>
      </c>
      <c r="I21" t="s">
        <v>1863</v>
      </c>
      <c r="J21" t="s">
        <v>1360</v>
      </c>
      <c r="K21" t="s">
        <v>861</v>
      </c>
      <c r="L21" t="s">
        <v>1867</v>
      </c>
      <c r="M21" t="s">
        <v>881</v>
      </c>
      <c r="N21">
        <v>2013</v>
      </c>
      <c r="O21" t="s">
        <v>830</v>
      </c>
      <c r="P21" t="s">
        <v>1810</v>
      </c>
      <c r="Q21" t="s">
        <v>830</v>
      </c>
      <c r="T21" t="s">
        <v>830</v>
      </c>
      <c r="U21" t="s">
        <v>830</v>
      </c>
      <c r="W21" t="s">
        <v>1869</v>
      </c>
      <c r="X21" t="s">
        <v>3320</v>
      </c>
      <c r="Y21" t="s">
        <v>830</v>
      </c>
      <c r="Z21">
        <v>3</v>
      </c>
      <c r="AA21">
        <v>514</v>
      </c>
      <c r="AB21">
        <v>24.88</v>
      </c>
      <c r="AC21" t="str">
        <f t="shared" si="0"/>
        <v/>
      </c>
      <c r="AE21" t="str">
        <f t="shared" si="1"/>
        <v/>
      </c>
      <c r="AI21" t="str">
        <f t="shared" si="2"/>
        <v/>
      </c>
      <c r="AJ21" t="str">
        <f t="shared" si="3"/>
        <v/>
      </c>
      <c r="AN21" t="str">
        <f>IF(AM21&lt;&gt;"",CONCATENATE(AC21," &amp; ",SUBSTITUTE(AJ21,","," ")," &amp; ",SUBSTITUTE(AF21,"."," ")," &amp; ",AL21," &amp; ",AM21," \\"),"")</f>
        <v/>
      </c>
    </row>
    <row r="22" spans="1:40" x14ac:dyDescent="0.2">
      <c r="A22" t="s">
        <v>50</v>
      </c>
      <c r="B22" t="s">
        <v>51</v>
      </c>
      <c r="C22">
        <v>0</v>
      </c>
      <c r="D22" t="s">
        <v>52</v>
      </c>
      <c r="E22" t="s">
        <v>53</v>
      </c>
      <c r="F22" t="s">
        <v>8</v>
      </c>
      <c r="G22" t="s">
        <v>2663</v>
      </c>
      <c r="H22" t="s">
        <v>830</v>
      </c>
      <c r="I22" t="s">
        <v>2385</v>
      </c>
      <c r="J22" t="s">
        <v>1140</v>
      </c>
      <c r="K22" t="s">
        <v>838</v>
      </c>
      <c r="L22" t="s">
        <v>1558</v>
      </c>
      <c r="M22" t="s">
        <v>3423</v>
      </c>
      <c r="N22">
        <v>2005</v>
      </c>
      <c r="O22" t="s">
        <v>830</v>
      </c>
      <c r="P22" t="s">
        <v>2664</v>
      </c>
      <c r="Q22" t="s">
        <v>830</v>
      </c>
      <c r="T22" t="s">
        <v>830</v>
      </c>
      <c r="U22" t="s">
        <v>830</v>
      </c>
      <c r="W22" t="s">
        <v>2653</v>
      </c>
      <c r="X22" t="s">
        <v>2665</v>
      </c>
      <c r="Y22" t="s">
        <v>830</v>
      </c>
      <c r="Z22">
        <v>2</v>
      </c>
      <c r="AA22">
        <v>84</v>
      </c>
      <c r="AB22">
        <v>8.43</v>
      </c>
      <c r="AC22" t="str">
        <f t="shared" si="0"/>
        <v>BARBAC</v>
      </c>
      <c r="AD22" t="s">
        <v>3197</v>
      </c>
      <c r="AE22" t="str">
        <f t="shared" si="1"/>
        <v>BarbituricAcid</v>
      </c>
      <c r="AF22" t="s">
        <v>3198</v>
      </c>
      <c r="AG22" s="15" t="s">
        <v>3132</v>
      </c>
      <c r="AH22" t="s">
        <v>2884</v>
      </c>
      <c r="AI22" t="str">
        <f t="shared" si="2"/>
        <v>CSD,version,6.01,with,Feb,2026,update</v>
      </c>
      <c r="AJ22" t="str">
        <f t="shared" si="3"/>
        <v>C4,H4,N2,O3</v>
      </c>
      <c r="AL22">
        <v>1</v>
      </c>
      <c r="AM22">
        <v>1</v>
      </c>
      <c r="AN22" t="str">
        <f>IF(AM22&lt;&gt;"",CONCATENATE(AC22," &amp; \ce{",SUBSTITUTE(AJ22,","," "),"} &amp; ",SUBSTITUTE(AF22,"."," ")," &amp; ",AL22," &amp; ",AM22," \\"),"")</f>
        <v>BARBAC &amp; \ce{C4 H4 N2 O3} &amp; Barbituric Acid &amp; 1 &amp; 1 \\</v>
      </c>
    </row>
    <row r="23" spans="1:40" ht="15" x14ac:dyDescent="0.25">
      <c r="A23" t="s">
        <v>54</v>
      </c>
      <c r="B23" s="17" t="s">
        <v>3007</v>
      </c>
      <c r="C23">
        <v>0</v>
      </c>
      <c r="D23" t="s">
        <v>55</v>
      </c>
      <c r="E23" t="s">
        <v>56</v>
      </c>
      <c r="F23" t="s">
        <v>57</v>
      </c>
      <c r="G23" s="4" t="s">
        <v>1895</v>
      </c>
      <c r="H23" t="s">
        <v>830</v>
      </c>
      <c r="I23" t="s">
        <v>1884</v>
      </c>
      <c r="J23" t="s">
        <v>1904</v>
      </c>
      <c r="K23" t="s">
        <v>1893</v>
      </c>
      <c r="L23" t="s">
        <v>1903</v>
      </c>
      <c r="M23" t="s">
        <v>1894</v>
      </c>
      <c r="N23">
        <v>2003</v>
      </c>
      <c r="O23" t="s">
        <v>830</v>
      </c>
      <c r="P23" t="s">
        <v>830</v>
      </c>
      <c r="Q23" t="s">
        <v>830</v>
      </c>
      <c r="T23" t="s">
        <v>830</v>
      </c>
      <c r="U23" t="s">
        <v>830</v>
      </c>
      <c r="W23" t="s">
        <v>1897</v>
      </c>
      <c r="X23" t="s">
        <v>1905</v>
      </c>
      <c r="Y23" t="s">
        <v>830</v>
      </c>
      <c r="Z23">
        <v>3</v>
      </c>
      <c r="AA23">
        <v>21</v>
      </c>
      <c r="AB23">
        <v>13.43</v>
      </c>
      <c r="AC23" t="str">
        <f t="shared" si="0"/>
        <v>BAWNIW</v>
      </c>
      <c r="AD23" t="s">
        <v>55</v>
      </c>
      <c r="AE23" t="str">
        <f t="shared" si="1"/>
        <v>Chlorothalonil</v>
      </c>
      <c r="AF23" t="str">
        <f>AE23</f>
        <v>Chlorothalonil</v>
      </c>
      <c r="AG23" s="15" t="s">
        <v>2977</v>
      </c>
      <c r="AH23" t="s">
        <v>2884</v>
      </c>
      <c r="AI23" t="str">
        <f t="shared" si="2"/>
        <v>CSD,version,5.46,with,Feb,2025,update</v>
      </c>
      <c r="AJ23" t="str">
        <f t="shared" si="3"/>
        <v>C8,N2,Cl4</v>
      </c>
      <c r="AL23">
        <v>1</v>
      </c>
      <c r="AM23">
        <v>1</v>
      </c>
      <c r="AN23" t="str">
        <f>IF(AM23&lt;&gt;"",CONCATENATE(AC23," &amp; \ce{",SUBSTITUTE(AJ23,","," "),"} &amp; ",SUBSTITUTE(AF23,"."," ")," &amp; ",AL23," &amp; ",AM23," \\"),"")</f>
        <v>BAWNIW &amp; \ce{C8 N2 Cl4} &amp; Chlorothalonil &amp; 1 &amp; 1 \\</v>
      </c>
    </row>
    <row r="24" spans="1:40" ht="15" x14ac:dyDescent="0.25">
      <c r="A24" t="s">
        <v>58</v>
      </c>
      <c r="B24" s="17" t="s">
        <v>3008</v>
      </c>
      <c r="C24">
        <v>0</v>
      </c>
      <c r="D24" t="s">
        <v>59</v>
      </c>
      <c r="E24" t="s">
        <v>60</v>
      </c>
      <c r="F24" t="s">
        <v>61</v>
      </c>
      <c r="G24" t="s">
        <v>2837</v>
      </c>
      <c r="H24" t="s">
        <v>830</v>
      </c>
      <c r="I24" t="s">
        <v>2385</v>
      </c>
      <c r="J24" t="s">
        <v>1202</v>
      </c>
      <c r="K24" t="s">
        <v>2524</v>
      </c>
      <c r="L24" t="s">
        <v>1553</v>
      </c>
      <c r="M24" t="s">
        <v>876</v>
      </c>
      <c r="N24" t="s">
        <v>1876</v>
      </c>
      <c r="O24" t="s">
        <v>830</v>
      </c>
      <c r="P24" t="s">
        <v>2833</v>
      </c>
      <c r="Q24" t="s">
        <v>830</v>
      </c>
      <c r="T24" t="s">
        <v>830</v>
      </c>
      <c r="U24" t="s">
        <v>830</v>
      </c>
      <c r="W24" t="s">
        <v>2836</v>
      </c>
      <c r="X24" t="s">
        <v>2844</v>
      </c>
      <c r="Y24" t="s">
        <v>830</v>
      </c>
      <c r="Z24">
        <v>2</v>
      </c>
      <c r="AA24">
        <v>48</v>
      </c>
      <c r="AB24">
        <v>5</v>
      </c>
      <c r="AC24" t="str">
        <f t="shared" si="0"/>
        <v>BELBUP</v>
      </c>
      <c r="AD24" t="s">
        <v>59</v>
      </c>
      <c r="AE24" t="str">
        <f t="shared" si="1"/>
        <v>Hydroxyazabenzotriazole</v>
      </c>
      <c r="AF24" t="str">
        <f>AE24</f>
        <v>Hydroxyazabenzotriazole</v>
      </c>
      <c r="AG24" s="15" t="s">
        <v>2887</v>
      </c>
      <c r="AH24" t="s">
        <v>2884</v>
      </c>
      <c r="AI24" t="str">
        <f t="shared" si="2"/>
        <v>CSD,version,6.01,with,Feb,2026,update</v>
      </c>
      <c r="AJ24" t="str">
        <f t="shared" si="3"/>
        <v>C5,H4,N4,O1</v>
      </c>
      <c r="AL24">
        <v>1</v>
      </c>
      <c r="AM24">
        <v>1</v>
      </c>
      <c r="AN24" t="str">
        <f>IF(AM24&lt;&gt;"",CONCATENATE(AC24," &amp; \ce{",SUBSTITUTE(AJ24,","," "),"} &amp; ",SUBSTITUTE(AF24,"."," ")," &amp; ",AL24," &amp; ",AM24," \\"),"")</f>
        <v>BELBUP &amp; \ce{C5 H4 N4 O1} &amp; Hydroxyazabenzotriazole &amp; 1 &amp; 1 \\</v>
      </c>
    </row>
    <row r="25" spans="1:40" x14ac:dyDescent="0.2">
      <c r="A25" t="s">
        <v>62</v>
      </c>
      <c r="B25" t="s">
        <v>63</v>
      </c>
      <c r="C25">
        <v>20</v>
      </c>
      <c r="D25" t="s">
        <v>64</v>
      </c>
      <c r="E25" t="s">
        <v>65</v>
      </c>
      <c r="F25" t="s">
        <v>64</v>
      </c>
      <c r="G25" s="4" t="s">
        <v>2414</v>
      </c>
      <c r="H25" t="s">
        <v>830</v>
      </c>
      <c r="I25" t="s">
        <v>2385</v>
      </c>
      <c r="J25" t="s">
        <v>1195</v>
      </c>
      <c r="K25" t="s">
        <v>898</v>
      </c>
      <c r="L25" t="s">
        <v>2415</v>
      </c>
      <c r="M25" t="s">
        <v>2416</v>
      </c>
      <c r="N25">
        <v>2010</v>
      </c>
      <c r="O25" t="s">
        <v>830</v>
      </c>
      <c r="P25" t="s">
        <v>2412</v>
      </c>
      <c r="Q25" t="s">
        <v>830</v>
      </c>
      <c r="T25" t="s">
        <v>830</v>
      </c>
      <c r="U25" t="s">
        <v>830</v>
      </c>
      <c r="W25" t="s">
        <v>2420</v>
      </c>
      <c r="X25" t="s">
        <v>2413</v>
      </c>
      <c r="Y25" t="s">
        <v>830</v>
      </c>
      <c r="Z25">
        <v>2</v>
      </c>
      <c r="AA25">
        <v>1064</v>
      </c>
      <c r="AB25">
        <v>20</v>
      </c>
      <c r="AC25" t="str">
        <f t="shared" si="0"/>
        <v>BESKAL</v>
      </c>
      <c r="AD25" t="s">
        <v>3202</v>
      </c>
      <c r="AE25" t="str">
        <f t="shared" si="1"/>
        <v>GentisicAcid</v>
      </c>
      <c r="AF25" t="s">
        <v>3450</v>
      </c>
      <c r="AG25" s="15" t="s">
        <v>2919</v>
      </c>
      <c r="AH25" t="s">
        <v>2897</v>
      </c>
      <c r="AI25" t="str">
        <f t="shared" si="2"/>
        <v>CSD,version,6.01,with,Feb,2026,update</v>
      </c>
      <c r="AJ25" t="str">
        <f t="shared" si="3"/>
        <v>C7,H6,O4</v>
      </c>
      <c r="AL25">
        <v>2</v>
      </c>
      <c r="AM25">
        <v>2</v>
      </c>
      <c r="AN25" t="str">
        <f>IF(AM25&lt;&gt;"",CONCATENATE(AC25," &amp; \ce{",SUBSTITUTE(AJ25,","," "),"} &amp; ",SUBSTITUTE(AF25,"."," ")," &amp; ",AL25," &amp; ",AM25," \\"),"")</f>
        <v>BESKAL &amp; \ce{C7 H6 O4} &amp; Gentisic Acid &amp; 2 &amp; 2 \\</v>
      </c>
    </row>
    <row r="26" spans="1:40" x14ac:dyDescent="0.2">
      <c r="A26" t="s">
        <v>62</v>
      </c>
      <c r="B26" t="s">
        <v>63</v>
      </c>
      <c r="C26">
        <v>21</v>
      </c>
      <c r="D26" t="s">
        <v>64</v>
      </c>
      <c r="E26" t="s">
        <v>65</v>
      </c>
      <c r="F26" t="s">
        <v>64</v>
      </c>
      <c r="G26" s="4" t="s">
        <v>2414</v>
      </c>
      <c r="H26" t="s">
        <v>830</v>
      </c>
      <c r="I26" t="s">
        <v>2385</v>
      </c>
      <c r="J26" t="s">
        <v>1196</v>
      </c>
      <c r="K26" t="s">
        <v>898</v>
      </c>
      <c r="L26" t="s">
        <v>2415</v>
      </c>
      <c r="M26" t="s">
        <v>2416</v>
      </c>
      <c r="N26">
        <v>2010</v>
      </c>
      <c r="O26" t="s">
        <v>830</v>
      </c>
      <c r="P26" t="s">
        <v>877</v>
      </c>
      <c r="Q26" t="s">
        <v>830</v>
      </c>
      <c r="T26" t="s">
        <v>830</v>
      </c>
      <c r="U26" t="s">
        <v>830</v>
      </c>
      <c r="W26" t="s">
        <v>2420</v>
      </c>
      <c r="X26" t="s">
        <v>2417</v>
      </c>
      <c r="Y26" t="s">
        <v>830</v>
      </c>
      <c r="Z26">
        <v>2</v>
      </c>
      <c r="AA26">
        <v>6233</v>
      </c>
      <c r="AB26">
        <v>33.840000000000003</v>
      </c>
      <c r="AC26" t="str">
        <f t="shared" si="0"/>
        <v/>
      </c>
      <c r="AE26" t="str">
        <f t="shared" si="1"/>
        <v/>
      </c>
      <c r="AI26" t="str">
        <f t="shared" si="2"/>
        <v/>
      </c>
      <c r="AJ26" t="str">
        <f t="shared" si="3"/>
        <v/>
      </c>
      <c r="AN26" t="str">
        <f>IF(AM26&lt;&gt;"",CONCATENATE(AC26," &amp; ",SUBSTITUTE(AJ26,","," ")," &amp; ",SUBSTITUTE(AF26,"."," ")," &amp; ",AL26," &amp; ",AM26," \\"),"")</f>
        <v/>
      </c>
    </row>
    <row r="27" spans="1:40" x14ac:dyDescent="0.2">
      <c r="A27" t="s">
        <v>66</v>
      </c>
      <c r="B27" t="s">
        <v>67</v>
      </c>
      <c r="C27">
        <v>10</v>
      </c>
      <c r="D27" t="s">
        <v>68</v>
      </c>
      <c r="E27" t="s">
        <v>69</v>
      </c>
      <c r="F27" t="s">
        <v>8</v>
      </c>
      <c r="G27" s="4" t="s">
        <v>1922</v>
      </c>
      <c r="H27" t="s">
        <v>830</v>
      </c>
      <c r="I27" t="s">
        <v>1884</v>
      </c>
      <c r="J27" t="s">
        <v>1376</v>
      </c>
      <c r="K27" t="s">
        <v>840</v>
      </c>
      <c r="L27" t="s">
        <v>1924</v>
      </c>
      <c r="M27" t="s">
        <v>1926</v>
      </c>
      <c r="N27">
        <v>2014</v>
      </c>
      <c r="O27" t="s">
        <v>830</v>
      </c>
      <c r="P27" t="s">
        <v>1925</v>
      </c>
      <c r="Q27" t="s">
        <v>830</v>
      </c>
      <c r="T27" t="s">
        <v>830</v>
      </c>
      <c r="U27" t="s">
        <v>830</v>
      </c>
      <c r="W27" t="s">
        <v>1927</v>
      </c>
      <c r="X27" t="s">
        <v>1919</v>
      </c>
      <c r="Y27" t="s">
        <v>830</v>
      </c>
      <c r="Z27">
        <v>2</v>
      </c>
      <c r="AA27">
        <v>1201</v>
      </c>
      <c r="AB27">
        <v>24.071999999999999</v>
      </c>
      <c r="AC27" t="str">
        <f t="shared" si="0"/>
        <v>BICVIS</v>
      </c>
      <c r="AD27" t="s">
        <v>3200</v>
      </c>
      <c r="AE27" t="str">
        <f t="shared" si="1"/>
        <v>Lactide</v>
      </c>
      <c r="AF27" t="str">
        <f>AE27</f>
        <v>Lactide</v>
      </c>
      <c r="AG27" s="15" t="s">
        <v>2977</v>
      </c>
      <c r="AH27" t="s">
        <v>2888</v>
      </c>
      <c r="AI27" t="str">
        <f t="shared" si="2"/>
        <v>CSD,version,5.46,with,Feb,2025,update</v>
      </c>
      <c r="AJ27" t="str">
        <f t="shared" si="3"/>
        <v>C6,H8,O4</v>
      </c>
      <c r="AL27">
        <v>1</v>
      </c>
      <c r="AM27">
        <v>4</v>
      </c>
      <c r="AN27" t="str">
        <f>IF(AM27&lt;&gt;"",CONCATENATE(AC27," &amp; \ce{",SUBSTITUTE(AJ27,","," "),"} &amp; ",SUBSTITUTE(AF27,"."," ")," &amp; ",AL27," &amp; ",AM27," \\"),"")</f>
        <v>BICVIS &amp; \ce{C6 H8 O4} &amp; Lactide &amp; 1 &amp; 4 \\</v>
      </c>
    </row>
    <row r="28" spans="1:40" x14ac:dyDescent="0.2">
      <c r="A28" t="s">
        <v>66</v>
      </c>
      <c r="B28" t="s">
        <v>67</v>
      </c>
      <c r="C28">
        <v>20</v>
      </c>
      <c r="D28" t="s">
        <v>68</v>
      </c>
      <c r="E28" t="s">
        <v>69</v>
      </c>
      <c r="F28" t="s">
        <v>8</v>
      </c>
      <c r="G28" s="4" t="s">
        <v>1922</v>
      </c>
      <c r="H28" t="s">
        <v>830</v>
      </c>
      <c r="I28" t="s">
        <v>1884</v>
      </c>
      <c r="J28" t="s">
        <v>1379</v>
      </c>
      <c r="K28" t="s">
        <v>840</v>
      </c>
      <c r="L28" t="s">
        <v>1923</v>
      </c>
      <c r="M28" t="s">
        <v>891</v>
      </c>
      <c r="N28">
        <v>2014</v>
      </c>
      <c r="O28" t="s">
        <v>830</v>
      </c>
      <c r="P28" t="s">
        <v>891</v>
      </c>
      <c r="Q28" t="s">
        <v>830</v>
      </c>
      <c r="T28" t="s">
        <v>830</v>
      </c>
      <c r="U28" t="s">
        <v>830</v>
      </c>
      <c r="W28" t="s">
        <v>1927</v>
      </c>
      <c r="X28" t="s">
        <v>1918</v>
      </c>
      <c r="Y28" t="s">
        <v>830</v>
      </c>
      <c r="Z28">
        <v>2</v>
      </c>
      <c r="AA28">
        <v>2170</v>
      </c>
      <c r="AB28">
        <v>20</v>
      </c>
      <c r="AC28" t="str">
        <f t="shared" si="0"/>
        <v/>
      </c>
      <c r="AE28" t="str">
        <f t="shared" si="1"/>
        <v/>
      </c>
      <c r="AI28" t="str">
        <f t="shared" si="2"/>
        <v/>
      </c>
      <c r="AJ28" t="str">
        <f t="shared" si="3"/>
        <v/>
      </c>
      <c r="AN28" t="str">
        <f>IF(AM28&lt;&gt;"",CONCATENATE(AC28," &amp; ",SUBSTITUTE(AJ28,","," ")," &amp; ",SUBSTITUTE(AF28,"."," ")," &amp; ",AL28," &amp; ",AM28," \\"),"")</f>
        <v/>
      </c>
    </row>
    <row r="29" spans="1:40" x14ac:dyDescent="0.2">
      <c r="A29" t="s">
        <v>66</v>
      </c>
      <c r="B29" t="s">
        <v>67</v>
      </c>
      <c r="C29">
        <v>30</v>
      </c>
      <c r="D29" t="s">
        <v>68</v>
      </c>
      <c r="E29" t="s">
        <v>69</v>
      </c>
      <c r="F29" t="s">
        <v>8</v>
      </c>
      <c r="G29" s="4" t="s">
        <v>1922</v>
      </c>
      <c r="H29" t="s">
        <v>830</v>
      </c>
      <c r="I29" t="s">
        <v>1884</v>
      </c>
      <c r="J29" t="s">
        <v>1377</v>
      </c>
      <c r="K29" t="s">
        <v>840</v>
      </c>
      <c r="L29" t="s">
        <v>1513</v>
      </c>
      <c r="M29" t="s">
        <v>891</v>
      </c>
      <c r="N29">
        <v>2014</v>
      </c>
      <c r="O29" t="s">
        <v>830</v>
      </c>
      <c r="P29" t="s">
        <v>891</v>
      </c>
      <c r="Q29" t="s">
        <v>830</v>
      </c>
      <c r="T29" t="s">
        <v>830</v>
      </c>
      <c r="U29" t="s">
        <v>830</v>
      </c>
      <c r="W29" t="s">
        <v>1927</v>
      </c>
      <c r="X29" t="s">
        <v>1920</v>
      </c>
      <c r="Y29" t="s">
        <v>830</v>
      </c>
      <c r="Z29">
        <v>2</v>
      </c>
      <c r="AA29">
        <v>1239</v>
      </c>
      <c r="AB29">
        <v>26.806999999999999</v>
      </c>
      <c r="AC29" t="str">
        <f t="shared" si="0"/>
        <v/>
      </c>
      <c r="AE29" t="str">
        <f t="shared" si="1"/>
        <v/>
      </c>
      <c r="AI29" t="str">
        <f t="shared" si="2"/>
        <v/>
      </c>
      <c r="AJ29" t="str">
        <f t="shared" si="3"/>
        <v/>
      </c>
      <c r="AN29" t="str">
        <f>IF(AM29&lt;&gt;"",CONCATENATE(AC29," &amp; ",SUBSTITUTE(AJ29,","," ")," &amp; ",SUBSTITUTE(AF29,"."," ")," &amp; ",AL29," &amp; ",AM29," \\"),"")</f>
        <v/>
      </c>
    </row>
    <row r="30" spans="1:40" x14ac:dyDescent="0.2">
      <c r="A30" t="s">
        <v>66</v>
      </c>
      <c r="B30" t="s">
        <v>67</v>
      </c>
      <c r="C30">
        <v>31</v>
      </c>
      <c r="D30" t="s">
        <v>68</v>
      </c>
      <c r="E30" t="s">
        <v>69</v>
      </c>
      <c r="F30" t="s">
        <v>8</v>
      </c>
      <c r="G30" s="4" t="s">
        <v>1922</v>
      </c>
      <c r="H30" t="s">
        <v>830</v>
      </c>
      <c r="I30" t="s">
        <v>1884</v>
      </c>
      <c r="J30" t="s">
        <v>1378</v>
      </c>
      <c r="K30" t="s">
        <v>840</v>
      </c>
      <c r="L30" t="s">
        <v>1513</v>
      </c>
      <c r="M30" t="s">
        <v>891</v>
      </c>
      <c r="N30">
        <v>2014</v>
      </c>
      <c r="O30" t="s">
        <v>830</v>
      </c>
      <c r="P30" t="s">
        <v>891</v>
      </c>
      <c r="Q30" t="s">
        <v>830</v>
      </c>
      <c r="T30" t="s">
        <v>830</v>
      </c>
      <c r="U30" t="s">
        <v>830</v>
      </c>
      <c r="W30" t="s">
        <v>1927</v>
      </c>
      <c r="X30" t="s">
        <v>1921</v>
      </c>
      <c r="Y30" t="s">
        <v>830</v>
      </c>
      <c r="Z30">
        <v>2</v>
      </c>
      <c r="AA30">
        <v>1239</v>
      </c>
      <c r="AB30">
        <v>26.806999999999999</v>
      </c>
      <c r="AC30" t="str">
        <f t="shared" si="0"/>
        <v/>
      </c>
      <c r="AE30" t="str">
        <f t="shared" si="1"/>
        <v/>
      </c>
      <c r="AI30" t="str">
        <f t="shared" si="2"/>
        <v/>
      </c>
      <c r="AJ30" t="str">
        <f t="shared" si="3"/>
        <v/>
      </c>
      <c r="AN30" t="str">
        <f>IF(AM30&lt;&gt;"",CONCATENATE(AC30," &amp; ",SUBSTITUTE(AJ30,","," ")," &amp; ",SUBSTITUTE(AF30,"."," ")," &amp; ",AL30," &amp; ",AM30," \\"),"")</f>
        <v/>
      </c>
    </row>
    <row r="31" spans="1:40" x14ac:dyDescent="0.2">
      <c r="A31" t="s">
        <v>70</v>
      </c>
      <c r="B31" t="s">
        <v>1913</v>
      </c>
      <c r="C31">
        <v>0</v>
      </c>
      <c r="D31" t="s">
        <v>71</v>
      </c>
      <c r="E31" t="s">
        <v>72</v>
      </c>
      <c r="F31" t="s">
        <v>8</v>
      </c>
      <c r="G31" t="s">
        <v>70</v>
      </c>
      <c r="H31" t="s">
        <v>830</v>
      </c>
      <c r="I31" t="s">
        <v>1884</v>
      </c>
      <c r="J31" t="s">
        <v>1340</v>
      </c>
      <c r="K31" t="s">
        <v>841</v>
      </c>
      <c r="L31" t="s">
        <v>1805</v>
      </c>
      <c r="M31" t="s">
        <v>887</v>
      </c>
      <c r="N31">
        <v>2013</v>
      </c>
      <c r="O31" t="s">
        <v>830</v>
      </c>
      <c r="P31" t="s">
        <v>887</v>
      </c>
      <c r="Q31" t="s">
        <v>830</v>
      </c>
      <c r="T31" t="s">
        <v>830</v>
      </c>
      <c r="U31" t="s">
        <v>830</v>
      </c>
      <c r="W31" t="s">
        <v>1897</v>
      </c>
      <c r="X31" t="s">
        <v>1906</v>
      </c>
      <c r="Y31" t="s">
        <v>830</v>
      </c>
      <c r="Z31">
        <v>1</v>
      </c>
      <c r="AA31">
        <v>5662</v>
      </c>
      <c r="AB31">
        <v>68.66</v>
      </c>
      <c r="AC31" t="str">
        <f t="shared" si="0"/>
        <v>BIFHOP</v>
      </c>
      <c r="AD31" t="s">
        <v>3201</v>
      </c>
      <c r="AE31" t="str">
        <f t="shared" si="1"/>
        <v>GSK269984B</v>
      </c>
      <c r="AF31" t="str">
        <f>AE31</f>
        <v>GSK269984B</v>
      </c>
      <c r="AG31" s="15" t="s">
        <v>2977</v>
      </c>
      <c r="AH31" t="s">
        <v>3206</v>
      </c>
      <c r="AI31" t="str">
        <f t="shared" si="2"/>
        <v>CSD,version,5.46,with,Feb,2025,update</v>
      </c>
      <c r="AJ31" t="str">
        <f t="shared" si="3"/>
        <v>C20,H14,N1,O3,Cl2,F1</v>
      </c>
      <c r="AL31">
        <v>4</v>
      </c>
      <c r="AM31">
        <v>5</v>
      </c>
      <c r="AN31" t="str">
        <f>IF(AM31&lt;&gt;"",CONCATENATE(AC31," &amp; \ce{",SUBSTITUTE(AJ31,","," "),"} &amp; ",SUBSTITUTE(AF31,"."," ")," &amp; ",AL31," &amp; ",AM31," \\"),"")</f>
        <v>BIFHOP &amp; \ce{C20 H14 N1 O3 Cl2 F1} &amp; GSK269984B &amp; 4 &amp; 5 \\</v>
      </c>
    </row>
    <row r="32" spans="1:40" x14ac:dyDescent="0.2">
      <c r="A32" t="s">
        <v>70</v>
      </c>
      <c r="B32" t="s">
        <v>1913</v>
      </c>
      <c r="C32">
        <v>1</v>
      </c>
      <c r="D32" t="s">
        <v>71</v>
      </c>
      <c r="E32" t="s">
        <v>72</v>
      </c>
      <c r="F32" t="s">
        <v>8</v>
      </c>
      <c r="G32" t="s">
        <v>70</v>
      </c>
      <c r="H32" t="s">
        <v>830</v>
      </c>
      <c r="I32" t="s">
        <v>1884</v>
      </c>
      <c r="J32" t="s">
        <v>1341</v>
      </c>
      <c r="K32" t="s">
        <v>841</v>
      </c>
      <c r="L32" t="s">
        <v>1805</v>
      </c>
      <c r="M32" t="s">
        <v>887</v>
      </c>
      <c r="N32">
        <v>2013</v>
      </c>
      <c r="O32" t="s">
        <v>830</v>
      </c>
      <c r="P32" t="s">
        <v>887</v>
      </c>
      <c r="Q32" t="s">
        <v>830</v>
      </c>
      <c r="T32" t="s">
        <v>830</v>
      </c>
      <c r="U32" t="s">
        <v>830</v>
      </c>
      <c r="W32" t="s">
        <v>1897</v>
      </c>
      <c r="X32" t="s">
        <v>1907</v>
      </c>
      <c r="Y32" t="s">
        <v>830</v>
      </c>
      <c r="Z32">
        <v>1</v>
      </c>
      <c r="AA32">
        <v>11</v>
      </c>
      <c r="AB32">
        <v>14.83</v>
      </c>
      <c r="AC32" t="str">
        <f t="shared" si="0"/>
        <v/>
      </c>
      <c r="AE32" t="str">
        <f t="shared" si="1"/>
        <v/>
      </c>
      <c r="AI32" t="str">
        <f t="shared" si="2"/>
        <v/>
      </c>
      <c r="AJ32" t="str">
        <f t="shared" si="3"/>
        <v/>
      </c>
      <c r="AN32" t="str">
        <f>IF(AM32&lt;&gt;"",CONCATENATE(AC32," &amp; ",SUBSTITUTE(AJ32,","," ")," &amp; ",SUBSTITUTE(AF32,"."," ")," &amp; ",AL32," &amp; ",AM32," \\"),"")</f>
        <v/>
      </c>
    </row>
    <row r="33" spans="1:40" x14ac:dyDescent="0.2">
      <c r="A33" t="s">
        <v>70</v>
      </c>
      <c r="B33" t="s">
        <v>1913</v>
      </c>
      <c r="C33">
        <v>10</v>
      </c>
      <c r="D33" t="s">
        <v>71</v>
      </c>
      <c r="E33" t="s">
        <v>72</v>
      </c>
      <c r="F33" t="s">
        <v>8</v>
      </c>
      <c r="G33" t="s">
        <v>70</v>
      </c>
      <c r="H33" t="s">
        <v>830</v>
      </c>
      <c r="I33" t="s">
        <v>1884</v>
      </c>
      <c r="J33" t="s">
        <v>1343</v>
      </c>
      <c r="K33" t="s">
        <v>841</v>
      </c>
      <c r="L33" t="s">
        <v>1912</v>
      </c>
      <c r="M33" t="s">
        <v>887</v>
      </c>
      <c r="N33">
        <v>2013</v>
      </c>
      <c r="O33" t="s">
        <v>830</v>
      </c>
      <c r="P33" t="s">
        <v>887</v>
      </c>
      <c r="Q33" t="s">
        <v>830</v>
      </c>
      <c r="T33" t="s">
        <v>830</v>
      </c>
      <c r="U33" t="s">
        <v>830</v>
      </c>
      <c r="W33" t="s">
        <v>1897</v>
      </c>
      <c r="X33" t="s">
        <v>1908</v>
      </c>
      <c r="Y33" t="s">
        <v>830</v>
      </c>
      <c r="Z33">
        <v>1</v>
      </c>
      <c r="AA33">
        <v>528</v>
      </c>
      <c r="AB33">
        <v>90.274000000000001</v>
      </c>
      <c r="AC33" t="str">
        <f t="shared" si="0"/>
        <v/>
      </c>
      <c r="AE33" t="str">
        <f t="shared" si="1"/>
        <v/>
      </c>
      <c r="AI33" t="str">
        <f t="shared" si="2"/>
        <v/>
      </c>
      <c r="AJ33" t="str">
        <f t="shared" si="3"/>
        <v/>
      </c>
      <c r="AN33" t="str">
        <f>IF(AM33&lt;&gt;"",CONCATENATE(AC33," &amp; ",SUBSTITUTE(AJ33,","," ")," &amp; ",SUBSTITUTE(AF33,"."," ")," &amp; ",AL33," &amp; ",AM33," \\"),"")</f>
        <v/>
      </c>
    </row>
    <row r="34" spans="1:40" x14ac:dyDescent="0.2">
      <c r="A34" t="s">
        <v>70</v>
      </c>
      <c r="B34" t="s">
        <v>1913</v>
      </c>
      <c r="C34">
        <v>30</v>
      </c>
      <c r="D34" t="s">
        <v>71</v>
      </c>
      <c r="E34" t="s">
        <v>72</v>
      </c>
      <c r="F34" t="s">
        <v>8</v>
      </c>
      <c r="G34" t="s">
        <v>70</v>
      </c>
      <c r="H34" t="s">
        <v>830</v>
      </c>
      <c r="I34" t="s">
        <v>1884</v>
      </c>
      <c r="J34" t="s">
        <v>1342</v>
      </c>
      <c r="K34" t="s">
        <v>841</v>
      </c>
      <c r="L34" t="s">
        <v>1527</v>
      </c>
      <c r="M34" t="s">
        <v>2585</v>
      </c>
      <c r="N34">
        <v>2013</v>
      </c>
      <c r="O34" t="s">
        <v>830</v>
      </c>
      <c r="P34" t="s">
        <v>1911</v>
      </c>
      <c r="Q34" t="s">
        <v>830</v>
      </c>
      <c r="T34" t="s">
        <v>830</v>
      </c>
      <c r="U34" t="s">
        <v>830</v>
      </c>
      <c r="W34" t="s">
        <v>1897</v>
      </c>
      <c r="X34" t="s">
        <v>1909</v>
      </c>
      <c r="Y34" t="s">
        <v>830</v>
      </c>
      <c r="Z34">
        <v>1</v>
      </c>
      <c r="AA34">
        <v>520</v>
      </c>
      <c r="AB34">
        <v>76.481999999999999</v>
      </c>
      <c r="AC34" t="str">
        <f t="shared" ref="AC34:AC65" si="4">IF(AND(A34&lt;&gt;A33,T34="Yes"),A34,"")</f>
        <v/>
      </c>
      <c r="AE34" t="str">
        <f t="shared" si="1"/>
        <v/>
      </c>
      <c r="AI34" t="str">
        <f t="shared" si="2"/>
        <v/>
      </c>
      <c r="AJ34" t="str">
        <f t="shared" si="3"/>
        <v/>
      </c>
      <c r="AN34" t="str">
        <f>IF(AM34&lt;&gt;"",CONCATENATE(AC34," &amp; ",SUBSTITUTE(AJ34,","," ")," &amp; ",SUBSTITUTE(AF34,"."," ")," &amp; ",AL34," &amp; ",AM34," \\"),"")</f>
        <v/>
      </c>
    </row>
    <row r="35" spans="1:40" x14ac:dyDescent="0.2">
      <c r="A35" t="s">
        <v>70</v>
      </c>
      <c r="B35" t="s">
        <v>1913</v>
      </c>
      <c r="C35">
        <v>60</v>
      </c>
      <c r="D35" t="s">
        <v>71</v>
      </c>
      <c r="E35" t="s">
        <v>72</v>
      </c>
      <c r="F35" t="s">
        <v>8</v>
      </c>
      <c r="G35" t="s">
        <v>70</v>
      </c>
      <c r="H35" t="s">
        <v>830</v>
      </c>
      <c r="I35" t="s">
        <v>1884</v>
      </c>
      <c r="J35" t="s">
        <v>1383</v>
      </c>
      <c r="K35" t="s">
        <v>842</v>
      </c>
      <c r="L35" t="s">
        <v>1916</v>
      </c>
      <c r="M35" t="s">
        <v>1915</v>
      </c>
      <c r="N35">
        <v>2018</v>
      </c>
      <c r="O35" t="s">
        <v>830</v>
      </c>
      <c r="P35" t="s">
        <v>887</v>
      </c>
      <c r="Q35" t="s">
        <v>830</v>
      </c>
      <c r="T35" t="s">
        <v>830</v>
      </c>
      <c r="U35" t="s">
        <v>830</v>
      </c>
      <c r="W35" t="s">
        <v>1917</v>
      </c>
      <c r="X35" t="s">
        <v>1910</v>
      </c>
      <c r="Y35" t="s">
        <v>830</v>
      </c>
      <c r="Z35">
        <v>1</v>
      </c>
      <c r="AA35">
        <v>485</v>
      </c>
      <c r="AB35">
        <v>20</v>
      </c>
      <c r="AC35" t="str">
        <f t="shared" si="4"/>
        <v/>
      </c>
      <c r="AE35" t="str">
        <f t="shared" si="1"/>
        <v/>
      </c>
      <c r="AI35" t="str">
        <f t="shared" si="2"/>
        <v/>
      </c>
      <c r="AJ35" t="str">
        <f t="shared" si="3"/>
        <v/>
      </c>
      <c r="AN35" t="str">
        <f>IF(AM35&lt;&gt;"",CONCATENATE(AC35," &amp; ",SUBSTITUTE(AJ35,","," ")," &amp; ",SUBSTITUTE(AF35,"."," ")," &amp; ",AL35," &amp; ",AM35," \\"),"")</f>
        <v/>
      </c>
    </row>
    <row r="36" spans="1:40" ht="15" x14ac:dyDescent="0.25">
      <c r="A36" t="s">
        <v>73</v>
      </c>
      <c r="B36" s="17" t="s">
        <v>3434</v>
      </c>
      <c r="C36">
        <v>0</v>
      </c>
      <c r="D36" t="s">
        <v>74</v>
      </c>
      <c r="E36" t="s">
        <v>74</v>
      </c>
      <c r="F36" t="s">
        <v>74</v>
      </c>
      <c r="G36" t="s">
        <v>2027</v>
      </c>
      <c r="H36" t="s">
        <v>830</v>
      </c>
      <c r="I36" t="s">
        <v>1952</v>
      </c>
      <c r="J36" t="s">
        <v>2023</v>
      </c>
      <c r="K36" t="s">
        <v>843</v>
      </c>
      <c r="L36" t="s">
        <v>1553</v>
      </c>
      <c r="M36" t="s">
        <v>909</v>
      </c>
      <c r="N36" t="s">
        <v>1876</v>
      </c>
      <c r="O36" t="s">
        <v>830</v>
      </c>
      <c r="P36" t="s">
        <v>2586</v>
      </c>
      <c r="Q36" t="s">
        <v>830</v>
      </c>
      <c r="T36" t="s">
        <v>830</v>
      </c>
      <c r="U36" t="s">
        <v>830</v>
      </c>
      <c r="W36" t="s">
        <v>2034</v>
      </c>
      <c r="X36" t="s">
        <v>2028</v>
      </c>
      <c r="Y36" t="s">
        <v>830</v>
      </c>
      <c r="Z36">
        <v>1</v>
      </c>
      <c r="AA36">
        <v>418</v>
      </c>
      <c r="AC36" t="str">
        <f t="shared" si="4"/>
        <v>BIGSUF</v>
      </c>
      <c r="AD36" t="s">
        <v>2895</v>
      </c>
      <c r="AE36" t="str">
        <f t="shared" si="1"/>
        <v>2fluorobenzamide</v>
      </c>
      <c r="AF36" t="s">
        <v>74</v>
      </c>
      <c r="AG36" s="15" t="s">
        <v>2885</v>
      </c>
      <c r="AH36" t="s">
        <v>2897</v>
      </c>
      <c r="AI36" t="str">
        <f t="shared" si="2"/>
        <v>CSD,version,6.01</v>
      </c>
      <c r="AJ36" t="str">
        <f t="shared" si="3"/>
        <v>C7,H6,N1,O1,F1</v>
      </c>
      <c r="AL36">
        <v>2</v>
      </c>
      <c r="AM36">
        <v>2</v>
      </c>
      <c r="AN36" t="str">
        <f>IF(AM36&lt;&gt;"",CONCATENATE(AC36," &amp; \ce{",SUBSTITUTE(AJ36,","," "),"} &amp; ",SUBSTITUTE(AF36,"."," ")," &amp; ",AL36," &amp; ",AM36," \\"),"")</f>
        <v>BIGSUF &amp; \ce{C7 H6 N1 O1 F1} &amp; 2-fluorobenzamide &amp; 2 &amp; 2 \\</v>
      </c>
    </row>
    <row r="37" spans="1:40" ht="15" x14ac:dyDescent="0.25">
      <c r="A37" t="s">
        <v>73</v>
      </c>
      <c r="B37" s="17" t="s">
        <v>3434</v>
      </c>
      <c r="C37">
        <v>1</v>
      </c>
      <c r="D37" t="s">
        <v>74</v>
      </c>
      <c r="E37" t="s">
        <v>74</v>
      </c>
      <c r="F37" t="s">
        <v>74</v>
      </c>
      <c r="G37" t="s">
        <v>2027</v>
      </c>
      <c r="H37" t="s">
        <v>830</v>
      </c>
      <c r="I37" t="s">
        <v>1952</v>
      </c>
      <c r="J37" t="s">
        <v>2390</v>
      </c>
      <c r="K37" t="s">
        <v>843</v>
      </c>
      <c r="L37" t="s">
        <v>1553</v>
      </c>
      <c r="M37" t="s">
        <v>909</v>
      </c>
      <c r="N37" t="s">
        <v>1876</v>
      </c>
      <c r="O37" t="s">
        <v>830</v>
      </c>
      <c r="P37" t="s">
        <v>2586</v>
      </c>
      <c r="Q37" t="s">
        <v>830</v>
      </c>
      <c r="T37" t="s">
        <v>830</v>
      </c>
      <c r="U37" t="s">
        <v>830</v>
      </c>
      <c r="W37" t="s">
        <v>2034</v>
      </c>
      <c r="X37" t="s">
        <v>2029</v>
      </c>
      <c r="Y37" t="s">
        <v>830</v>
      </c>
      <c r="Z37">
        <v>1</v>
      </c>
      <c r="AA37">
        <v>159</v>
      </c>
      <c r="AC37" t="str">
        <f t="shared" si="4"/>
        <v/>
      </c>
      <c r="AE37" t="str">
        <f t="shared" si="1"/>
        <v/>
      </c>
      <c r="AI37" t="str">
        <f t="shared" si="2"/>
        <v/>
      </c>
      <c r="AJ37" t="str">
        <f t="shared" si="3"/>
        <v/>
      </c>
      <c r="AN37" t="str">
        <f>IF(AM37&lt;&gt;"",CONCATENATE(AC37," &amp; ",SUBSTITUTE(AJ37,","," ")," &amp; ",SUBSTITUTE(AF37,"."," ")," &amp; ",AL37," &amp; ",AM37," \\"),"")</f>
        <v/>
      </c>
    </row>
    <row r="38" spans="1:40" x14ac:dyDescent="0.2">
      <c r="A38" t="s">
        <v>75</v>
      </c>
      <c r="B38" t="s">
        <v>76</v>
      </c>
      <c r="C38">
        <v>10</v>
      </c>
      <c r="D38" t="s">
        <v>77</v>
      </c>
      <c r="E38" t="s">
        <v>77</v>
      </c>
      <c r="F38" t="s">
        <v>77</v>
      </c>
      <c r="G38" t="s">
        <v>2428</v>
      </c>
      <c r="H38" t="s">
        <v>830</v>
      </c>
      <c r="I38" t="s">
        <v>2385</v>
      </c>
      <c r="J38" t="s">
        <v>1141</v>
      </c>
      <c r="K38" t="s">
        <v>852</v>
      </c>
      <c r="L38" t="s">
        <v>2433</v>
      </c>
      <c r="M38" t="s">
        <v>1491</v>
      </c>
      <c r="N38">
        <v>2009</v>
      </c>
      <c r="O38" t="s">
        <v>830</v>
      </c>
      <c r="P38" t="s">
        <v>890</v>
      </c>
      <c r="Q38" t="s">
        <v>830</v>
      </c>
      <c r="T38" t="s">
        <v>830</v>
      </c>
      <c r="U38" t="s">
        <v>830</v>
      </c>
      <c r="W38" t="s">
        <v>2479</v>
      </c>
      <c r="X38" t="s">
        <v>2450</v>
      </c>
      <c r="Y38" t="s">
        <v>830</v>
      </c>
      <c r="Z38">
        <v>1</v>
      </c>
      <c r="AA38">
        <v>151</v>
      </c>
      <c r="AB38">
        <v>8.0120000000000005</v>
      </c>
      <c r="AC38" t="str">
        <f t="shared" si="4"/>
        <v>BIPYRL</v>
      </c>
      <c r="AD38" t="s">
        <v>3129</v>
      </c>
      <c r="AE38" t="str">
        <f t="shared" si="1"/>
        <v>Bipyridine</v>
      </c>
      <c r="AF38" t="str">
        <f>AE38</f>
        <v>Bipyridine</v>
      </c>
      <c r="AG38" s="15" t="s">
        <v>2889</v>
      </c>
      <c r="AH38" t="s">
        <v>2948</v>
      </c>
      <c r="AI38" t="str">
        <f t="shared" si="2"/>
        <v>CSD,version,6.01,with,Feb,2026,update</v>
      </c>
      <c r="AJ38" t="str">
        <f t="shared" si="3"/>
        <v>C10,H8,N2</v>
      </c>
      <c r="AL38">
        <v>2</v>
      </c>
      <c r="AM38">
        <v>5</v>
      </c>
      <c r="AN38" t="str">
        <f>IF(AM38&lt;&gt;"",CONCATENATE(AC38," &amp; \ce{",SUBSTITUTE(AJ38,","," "),"} &amp; ",SUBSTITUTE(AF38,"."," ")," &amp; ",AL38," &amp; ",AM38," \\"),"")</f>
        <v>BIPYRL &amp; \ce{C10 H8 N2} &amp; Bipyridine &amp; 2 &amp; 5 \\</v>
      </c>
    </row>
    <row r="39" spans="1:40" x14ac:dyDescent="0.2">
      <c r="A39" t="s">
        <v>75</v>
      </c>
      <c r="B39" t="s">
        <v>76</v>
      </c>
      <c r="C39">
        <v>11</v>
      </c>
      <c r="D39" t="s">
        <v>77</v>
      </c>
      <c r="E39" t="s">
        <v>77</v>
      </c>
      <c r="F39" t="s">
        <v>77</v>
      </c>
      <c r="G39" t="s">
        <v>2428</v>
      </c>
      <c r="H39" t="s">
        <v>830</v>
      </c>
      <c r="I39" t="s">
        <v>2385</v>
      </c>
      <c r="J39" t="s">
        <v>1143</v>
      </c>
      <c r="K39" t="s">
        <v>852</v>
      </c>
      <c r="L39" t="s">
        <v>2431</v>
      </c>
      <c r="M39" t="s">
        <v>1491</v>
      </c>
      <c r="N39">
        <v>2009</v>
      </c>
      <c r="O39" t="s">
        <v>830</v>
      </c>
      <c r="P39" t="s">
        <v>890</v>
      </c>
      <c r="Q39" t="s">
        <v>830</v>
      </c>
      <c r="T39" t="s">
        <v>830</v>
      </c>
      <c r="U39" t="s">
        <v>830</v>
      </c>
      <c r="W39" t="s">
        <v>2479</v>
      </c>
      <c r="X39" t="s">
        <v>2451</v>
      </c>
      <c r="Y39" t="s">
        <v>830</v>
      </c>
      <c r="Z39">
        <v>1</v>
      </c>
      <c r="AA39">
        <v>495</v>
      </c>
      <c r="AB39">
        <v>12.523999999999999</v>
      </c>
      <c r="AC39" t="str">
        <f t="shared" si="4"/>
        <v/>
      </c>
      <c r="AE39" t="str">
        <f t="shared" si="1"/>
        <v/>
      </c>
      <c r="AI39" t="str">
        <f t="shared" si="2"/>
        <v/>
      </c>
      <c r="AJ39" t="str">
        <f t="shared" si="3"/>
        <v/>
      </c>
      <c r="AN39" t="str">
        <f>IF(AM39&lt;&gt;"",CONCATENATE(AC39," &amp; ",SUBSTITUTE(AJ39,","," ")," &amp; ",SUBSTITUTE(AF39,"."," ")," &amp; ",AL39," &amp; ",AM39," \\"),"")</f>
        <v/>
      </c>
    </row>
    <row r="40" spans="1:40" x14ac:dyDescent="0.2">
      <c r="A40" t="s">
        <v>75</v>
      </c>
      <c r="B40" t="s">
        <v>76</v>
      </c>
      <c r="C40">
        <v>12</v>
      </c>
      <c r="D40" t="s">
        <v>77</v>
      </c>
      <c r="E40" t="s">
        <v>77</v>
      </c>
      <c r="F40" t="s">
        <v>77</v>
      </c>
      <c r="G40" t="s">
        <v>2428</v>
      </c>
      <c r="H40" t="s">
        <v>830</v>
      </c>
      <c r="I40" t="s">
        <v>2385</v>
      </c>
      <c r="J40" t="s">
        <v>1142</v>
      </c>
      <c r="K40" t="s">
        <v>852</v>
      </c>
      <c r="L40" t="s">
        <v>2432</v>
      </c>
      <c r="M40" t="s">
        <v>2444</v>
      </c>
      <c r="N40">
        <v>2009</v>
      </c>
      <c r="O40" t="s">
        <v>830</v>
      </c>
      <c r="P40" t="s">
        <v>890</v>
      </c>
      <c r="Q40" t="s">
        <v>830</v>
      </c>
      <c r="T40" t="s">
        <v>830</v>
      </c>
      <c r="U40" t="s">
        <v>830</v>
      </c>
      <c r="W40" t="s">
        <v>2479</v>
      </c>
      <c r="X40" t="s">
        <v>2452</v>
      </c>
      <c r="Y40" t="s">
        <v>830</v>
      </c>
      <c r="Z40">
        <v>1</v>
      </c>
      <c r="AA40">
        <v>20</v>
      </c>
      <c r="AB40">
        <v>3.2160000000000002</v>
      </c>
      <c r="AC40" t="str">
        <f t="shared" si="4"/>
        <v/>
      </c>
      <c r="AE40" t="str">
        <f t="shared" si="1"/>
        <v/>
      </c>
      <c r="AI40" t="str">
        <f t="shared" si="2"/>
        <v/>
      </c>
      <c r="AJ40" t="str">
        <f t="shared" si="3"/>
        <v/>
      </c>
      <c r="AN40" t="str">
        <f>IF(AM40&lt;&gt;"",CONCATENATE(AC40," &amp; ",SUBSTITUTE(AJ40,","," ")," &amp; ",SUBSTITUTE(AF40,"."," ")," &amp; ",AL40," &amp; ",AM40," \\"),"")</f>
        <v/>
      </c>
    </row>
    <row r="41" spans="1:40" x14ac:dyDescent="0.2">
      <c r="A41" t="s">
        <v>75</v>
      </c>
      <c r="B41" t="s">
        <v>76</v>
      </c>
      <c r="C41">
        <v>13</v>
      </c>
      <c r="D41" t="s">
        <v>77</v>
      </c>
      <c r="E41" t="s">
        <v>77</v>
      </c>
      <c r="F41" t="s">
        <v>77</v>
      </c>
      <c r="G41" t="s">
        <v>2428</v>
      </c>
      <c r="H41" t="s">
        <v>830</v>
      </c>
      <c r="I41" t="s">
        <v>2385</v>
      </c>
      <c r="J41" t="s">
        <v>1447</v>
      </c>
      <c r="K41" t="s">
        <v>852</v>
      </c>
      <c r="L41" t="s">
        <v>1667</v>
      </c>
      <c r="M41" t="s">
        <v>2446</v>
      </c>
      <c r="N41">
        <v>2012</v>
      </c>
      <c r="O41" t="s">
        <v>830</v>
      </c>
      <c r="P41" t="s">
        <v>2429</v>
      </c>
      <c r="Q41" t="s">
        <v>830</v>
      </c>
      <c r="T41" t="s">
        <v>830</v>
      </c>
      <c r="U41" t="s">
        <v>830</v>
      </c>
      <c r="W41" t="s">
        <v>2479</v>
      </c>
      <c r="X41" t="s">
        <v>2453</v>
      </c>
      <c r="Y41" t="s">
        <v>830</v>
      </c>
      <c r="Z41">
        <v>1</v>
      </c>
      <c r="AA41">
        <v>8</v>
      </c>
      <c r="AB41">
        <v>3.395</v>
      </c>
      <c r="AC41" t="str">
        <f t="shared" si="4"/>
        <v/>
      </c>
      <c r="AE41" t="str">
        <f t="shared" si="1"/>
        <v/>
      </c>
      <c r="AI41" t="str">
        <f t="shared" si="2"/>
        <v/>
      </c>
      <c r="AJ41" t="str">
        <f t="shared" si="3"/>
        <v/>
      </c>
      <c r="AN41" t="str">
        <f>IF(AM41&lt;&gt;"",CONCATENATE(AC41," &amp; ",SUBSTITUTE(AJ41,","," ")," &amp; ",SUBSTITUTE(AF41,"."," ")," &amp; ",AL41," &amp; ",AM41," \\"),"")</f>
        <v/>
      </c>
    </row>
    <row r="42" spans="1:40" x14ac:dyDescent="0.2">
      <c r="A42" t="s">
        <v>75</v>
      </c>
      <c r="B42" t="s">
        <v>76</v>
      </c>
      <c r="C42">
        <v>20</v>
      </c>
      <c r="D42" t="s">
        <v>77</v>
      </c>
      <c r="E42" t="s">
        <v>77</v>
      </c>
      <c r="F42" t="s">
        <v>77</v>
      </c>
      <c r="G42" t="s">
        <v>2428</v>
      </c>
      <c r="H42" t="s">
        <v>830</v>
      </c>
      <c r="I42" t="s">
        <v>2385</v>
      </c>
      <c r="J42" t="s">
        <v>1446</v>
      </c>
      <c r="K42" t="s">
        <v>852</v>
      </c>
      <c r="L42" t="s">
        <v>2436</v>
      </c>
      <c r="M42" t="s">
        <v>890</v>
      </c>
      <c r="N42">
        <v>2012</v>
      </c>
      <c r="O42" t="s">
        <v>830</v>
      </c>
      <c r="P42" t="s">
        <v>890</v>
      </c>
      <c r="Q42" t="s">
        <v>830</v>
      </c>
      <c r="T42" t="s">
        <v>830</v>
      </c>
      <c r="U42" t="s">
        <v>830</v>
      </c>
      <c r="W42" t="s">
        <v>2479</v>
      </c>
      <c r="X42" t="s">
        <v>2454</v>
      </c>
      <c r="Y42" t="s">
        <v>830</v>
      </c>
      <c r="Z42">
        <v>1</v>
      </c>
      <c r="AA42">
        <v>366</v>
      </c>
      <c r="AB42">
        <v>21.85</v>
      </c>
      <c r="AC42" t="str">
        <f t="shared" si="4"/>
        <v/>
      </c>
      <c r="AE42" t="str">
        <f t="shared" si="1"/>
        <v/>
      </c>
      <c r="AI42" t="str">
        <f t="shared" si="2"/>
        <v/>
      </c>
      <c r="AJ42" t="str">
        <f t="shared" si="3"/>
        <v/>
      </c>
      <c r="AN42" t="str">
        <f>IF(AM42&lt;&gt;"",CONCATENATE(AC42," &amp; ",SUBSTITUTE(AJ42,","," ")," &amp; ",SUBSTITUTE(AF42,"."," ")," &amp; ",AL42," &amp; ",AM42," \\"),"")</f>
        <v/>
      </c>
    </row>
    <row r="43" spans="1:40" ht="15" x14ac:dyDescent="0.25">
      <c r="A43" t="s">
        <v>78</v>
      </c>
      <c r="B43" s="17" t="s">
        <v>3009</v>
      </c>
      <c r="C43">
        <v>0</v>
      </c>
      <c r="D43" t="s">
        <v>79</v>
      </c>
      <c r="E43" t="s">
        <v>80</v>
      </c>
      <c r="F43" t="s">
        <v>8</v>
      </c>
      <c r="G43" t="s">
        <v>81</v>
      </c>
      <c r="H43" t="s">
        <v>830</v>
      </c>
      <c r="I43" t="s">
        <v>1798</v>
      </c>
      <c r="J43" t="s">
        <v>1225</v>
      </c>
      <c r="K43" t="s">
        <v>844</v>
      </c>
      <c r="L43" t="s">
        <v>1553</v>
      </c>
      <c r="M43" t="s">
        <v>1799</v>
      </c>
      <c r="N43">
        <v>2005</v>
      </c>
      <c r="O43" t="s">
        <v>830</v>
      </c>
      <c r="P43" t="s">
        <v>830</v>
      </c>
      <c r="Q43" t="s">
        <v>830</v>
      </c>
      <c r="T43" t="s">
        <v>830</v>
      </c>
      <c r="U43" t="s">
        <v>830</v>
      </c>
      <c r="W43" t="s">
        <v>1797</v>
      </c>
      <c r="X43" t="s">
        <v>1892</v>
      </c>
      <c r="Y43" t="s">
        <v>830</v>
      </c>
      <c r="Z43">
        <v>4</v>
      </c>
      <c r="AA43">
        <v>61</v>
      </c>
      <c r="AB43">
        <v>10</v>
      </c>
      <c r="AC43" t="str">
        <f t="shared" si="4"/>
        <v>BISMEV</v>
      </c>
      <c r="AD43" t="s">
        <v>79</v>
      </c>
      <c r="AE43" t="str">
        <f t="shared" si="1"/>
        <v>Piracetam</v>
      </c>
      <c r="AF43" t="str">
        <f>AE43</f>
        <v>Piracetam</v>
      </c>
      <c r="AG43" s="15" t="s">
        <v>3128</v>
      </c>
      <c r="AH43" t="s">
        <v>2884</v>
      </c>
      <c r="AI43" t="str">
        <f t="shared" si="2"/>
        <v>CSD,version,5.45,with,Mar,,Jun,and,Sep,2024,update</v>
      </c>
      <c r="AJ43" t="str">
        <f t="shared" si="3"/>
        <v>C6,H10,N2,O2</v>
      </c>
      <c r="AL43">
        <v>1</v>
      </c>
      <c r="AM43">
        <v>1</v>
      </c>
      <c r="AN43" t="str">
        <f>IF(AM43&lt;&gt;"",CONCATENATE(AC43," &amp; \ce{",SUBSTITUTE(AJ43,","," "),"} &amp; ",SUBSTITUTE(AF43,"."," ")," &amp; ",AL43," &amp; ",AM43," \\"),"")</f>
        <v>BISMEV &amp; \ce{C6 H10 N2 O2} &amp; Piracetam &amp; 1 &amp; 1 \\</v>
      </c>
    </row>
    <row r="44" spans="1:40" x14ac:dyDescent="0.2">
      <c r="A44" t="s">
        <v>82</v>
      </c>
      <c r="B44" t="s">
        <v>83</v>
      </c>
      <c r="C44">
        <v>0</v>
      </c>
      <c r="D44" t="s">
        <v>84</v>
      </c>
      <c r="E44" t="s">
        <v>84</v>
      </c>
      <c r="F44" t="s">
        <v>84</v>
      </c>
      <c r="G44" t="s">
        <v>82</v>
      </c>
      <c r="H44" t="s">
        <v>830</v>
      </c>
      <c r="I44" t="s">
        <v>1952</v>
      </c>
      <c r="J44" t="s">
        <v>1112</v>
      </c>
      <c r="K44" t="s">
        <v>884</v>
      </c>
      <c r="L44" t="s">
        <v>1553</v>
      </c>
      <c r="M44" t="s">
        <v>2060</v>
      </c>
      <c r="N44" t="s">
        <v>886</v>
      </c>
      <c r="O44" t="s">
        <v>830</v>
      </c>
      <c r="P44" t="s">
        <v>2055</v>
      </c>
      <c r="Q44" t="s">
        <v>830</v>
      </c>
      <c r="R44" t="s">
        <v>830</v>
      </c>
      <c r="S44" t="s">
        <v>953</v>
      </c>
      <c r="T44" t="s">
        <v>830</v>
      </c>
      <c r="U44" t="s">
        <v>830</v>
      </c>
      <c r="W44" t="s">
        <v>2034</v>
      </c>
      <c r="X44" t="s">
        <v>2062</v>
      </c>
      <c r="Y44" t="s">
        <v>830</v>
      </c>
      <c r="Z44">
        <v>1</v>
      </c>
      <c r="AA44">
        <v>456</v>
      </c>
      <c r="AB44">
        <v>55.31</v>
      </c>
      <c r="AC44" t="str">
        <f t="shared" si="4"/>
        <v>BOLLIY</v>
      </c>
      <c r="AD44" t="s">
        <v>3172</v>
      </c>
      <c r="AE44" t="str">
        <f t="shared" si="1"/>
        <v>5ethyluracil</v>
      </c>
      <c r="AF44" t="s">
        <v>84</v>
      </c>
      <c r="AG44" s="15" t="s">
        <v>2894</v>
      </c>
      <c r="AH44" t="s">
        <v>3061</v>
      </c>
      <c r="AI44" t="str">
        <f t="shared" si="2"/>
        <v>CSD,version,6.01</v>
      </c>
      <c r="AJ44" t="str">
        <f t="shared" si="3"/>
        <v>C6,H8,N2,O2</v>
      </c>
      <c r="AL44">
        <v>1</v>
      </c>
      <c r="AM44">
        <v>1</v>
      </c>
      <c r="AN44" t="str">
        <f>IF(AM44&lt;&gt;"",CONCATENATE(AC44," &amp; \ce{",SUBSTITUTE(AJ44,","," "),"} &amp; ",SUBSTITUTE(AF44,"."," ")," &amp; ",AL44," &amp; ",AM44," \\"),"")</f>
        <v>BOLLIY &amp; \ce{C6 H8 N2 O2} &amp; 5-Ethyluracil &amp; 1 &amp; 1 \\</v>
      </c>
    </row>
    <row r="45" spans="1:40" x14ac:dyDescent="0.2">
      <c r="A45" t="s">
        <v>85</v>
      </c>
      <c r="B45" t="s">
        <v>86</v>
      </c>
      <c r="C45">
        <v>0</v>
      </c>
      <c r="D45" t="s">
        <v>87</v>
      </c>
      <c r="E45" t="s">
        <v>87</v>
      </c>
      <c r="F45" t="s">
        <v>87</v>
      </c>
      <c r="G45" t="s">
        <v>85</v>
      </c>
      <c r="H45" t="s">
        <v>830</v>
      </c>
      <c r="I45" t="s">
        <v>1952</v>
      </c>
      <c r="J45" t="s">
        <v>1111</v>
      </c>
      <c r="K45" t="s">
        <v>884</v>
      </c>
      <c r="L45" t="s">
        <v>1553</v>
      </c>
      <c r="M45" t="s">
        <v>2060</v>
      </c>
      <c r="N45" t="s">
        <v>886</v>
      </c>
      <c r="O45" t="s">
        <v>830</v>
      </c>
      <c r="P45" t="s">
        <v>2055</v>
      </c>
      <c r="Q45" t="s">
        <v>830</v>
      </c>
      <c r="T45" t="s">
        <v>830</v>
      </c>
      <c r="U45" t="s">
        <v>830</v>
      </c>
      <c r="W45" t="s">
        <v>2034</v>
      </c>
      <c r="X45" t="s">
        <v>2063</v>
      </c>
      <c r="Y45" t="s">
        <v>830</v>
      </c>
      <c r="Z45">
        <v>1</v>
      </c>
      <c r="AA45">
        <v>168</v>
      </c>
      <c r="AB45">
        <v>10</v>
      </c>
      <c r="AC45" t="str">
        <f t="shared" si="4"/>
        <v>BOLLOE</v>
      </c>
      <c r="AD45" t="s">
        <v>3173</v>
      </c>
      <c r="AE45" t="str">
        <f t="shared" si="1"/>
        <v>5cyanouracil</v>
      </c>
      <c r="AF45" t="s">
        <v>3177</v>
      </c>
      <c r="AG45" s="15" t="s">
        <v>2894</v>
      </c>
      <c r="AH45" t="s">
        <v>2884</v>
      </c>
      <c r="AI45" t="str">
        <f t="shared" si="2"/>
        <v>CSD,version,6.01</v>
      </c>
      <c r="AJ45" t="str">
        <f t="shared" si="3"/>
        <v>C5,H3,N3,O2,</v>
      </c>
      <c r="AL45">
        <v>1</v>
      </c>
      <c r="AM45">
        <v>1</v>
      </c>
      <c r="AN45" t="str">
        <f>IF(AM45&lt;&gt;"",CONCATENATE(AC45," &amp; \ce{",SUBSTITUTE(AJ45,","," "),"} &amp; ",SUBSTITUTE(AF45,"."," ")," &amp; ",AL45," &amp; ",AM45," \\"),"")</f>
        <v>BOLLOE &amp; \ce{C5 H3 N3 O2 } &amp; 5-Cyanouracil &amp; 1 &amp; 1 \\</v>
      </c>
    </row>
    <row r="46" spans="1:40" x14ac:dyDescent="0.2">
      <c r="A46" t="s">
        <v>88</v>
      </c>
      <c r="B46" t="s">
        <v>89</v>
      </c>
      <c r="C46">
        <v>0</v>
      </c>
      <c r="D46" t="s">
        <v>90</v>
      </c>
      <c r="E46" t="s">
        <v>90</v>
      </c>
      <c r="F46" t="s">
        <v>2407</v>
      </c>
      <c r="G46" t="s">
        <v>88</v>
      </c>
      <c r="H46" t="s">
        <v>830</v>
      </c>
      <c r="I46" t="s">
        <v>2385</v>
      </c>
      <c r="J46" t="s">
        <v>1102</v>
      </c>
      <c r="K46" t="s">
        <v>845</v>
      </c>
      <c r="L46" t="s">
        <v>2408</v>
      </c>
      <c r="M46" t="s">
        <v>883</v>
      </c>
      <c r="N46" t="s">
        <v>1876</v>
      </c>
      <c r="O46" t="s">
        <v>830</v>
      </c>
      <c r="P46" t="s">
        <v>883</v>
      </c>
      <c r="Q46" t="s">
        <v>830</v>
      </c>
      <c r="T46" t="s">
        <v>830</v>
      </c>
      <c r="U46" t="s">
        <v>830</v>
      </c>
      <c r="W46" t="s">
        <v>2420</v>
      </c>
      <c r="X46" t="s">
        <v>2410</v>
      </c>
      <c r="Y46" t="s">
        <v>830</v>
      </c>
      <c r="Z46">
        <v>2</v>
      </c>
      <c r="AA46">
        <v>111</v>
      </c>
      <c r="AB46">
        <v>9.83</v>
      </c>
      <c r="AC46" t="str">
        <f t="shared" si="4"/>
        <v>BOQQUT</v>
      </c>
      <c r="AD46" t="s">
        <v>2911</v>
      </c>
      <c r="AE46" t="str">
        <f t="shared" si="1"/>
        <v>Azabicyclononanedione</v>
      </c>
      <c r="AF46" t="s">
        <v>2975</v>
      </c>
      <c r="AG46" s="15" t="s">
        <v>2919</v>
      </c>
      <c r="AH46" t="s">
        <v>2884</v>
      </c>
      <c r="AI46" t="str">
        <f t="shared" si="2"/>
        <v>CSD,version,6.01,with,Feb,2026,update</v>
      </c>
      <c r="AJ46" t="str">
        <f t="shared" si="3"/>
        <v>C8,H11,N1,O2</v>
      </c>
      <c r="AK46" t="s">
        <v>3059</v>
      </c>
      <c r="AL46">
        <v>2</v>
      </c>
      <c r="AM46">
        <v>2</v>
      </c>
      <c r="AN46" t="str">
        <f>IF(AM46&lt;&gt;"",CONCATENATE(AC46," &amp; \ce{",SUBSTITUTE(AJ46,","," "),"} &amp; ",SUBSTITUTE(AF46,"."," ")," &amp; ",AL46," &amp; ",AM46," \\"),"")</f>
        <v>BOQQUT &amp; \ce{C8 H11 N1 O2} &amp; Azabicyclononanedione (Blind Test IV) &amp; 2 &amp; 2 \\</v>
      </c>
    </row>
    <row r="47" spans="1:40" x14ac:dyDescent="0.2">
      <c r="A47" t="s">
        <v>88</v>
      </c>
      <c r="B47" t="s">
        <v>89</v>
      </c>
      <c r="C47">
        <v>1</v>
      </c>
      <c r="D47" t="s">
        <v>90</v>
      </c>
      <c r="E47" t="s">
        <v>90</v>
      </c>
      <c r="F47" t="s">
        <v>2407</v>
      </c>
      <c r="G47" t="s">
        <v>88</v>
      </c>
      <c r="H47" t="s">
        <v>830</v>
      </c>
      <c r="I47" t="s">
        <v>2385</v>
      </c>
      <c r="J47" t="s">
        <v>1101</v>
      </c>
      <c r="K47" t="s">
        <v>845</v>
      </c>
      <c r="L47" t="s">
        <v>2408</v>
      </c>
      <c r="M47" t="s">
        <v>910</v>
      </c>
      <c r="N47" t="s">
        <v>1876</v>
      </c>
      <c r="O47" t="s">
        <v>830</v>
      </c>
      <c r="P47" t="s">
        <v>2409</v>
      </c>
      <c r="Q47" t="s">
        <v>830</v>
      </c>
      <c r="T47" t="s">
        <v>830</v>
      </c>
      <c r="U47" t="s">
        <v>830</v>
      </c>
      <c r="W47" t="s">
        <v>2420</v>
      </c>
      <c r="X47" t="s">
        <v>2411</v>
      </c>
      <c r="Y47" t="s">
        <v>830</v>
      </c>
      <c r="Z47">
        <v>2</v>
      </c>
      <c r="AA47">
        <v>196</v>
      </c>
      <c r="AB47">
        <v>15</v>
      </c>
      <c r="AC47" t="str">
        <f t="shared" si="4"/>
        <v/>
      </c>
      <c r="AE47" t="str">
        <f t="shared" si="1"/>
        <v/>
      </c>
      <c r="AI47" t="str">
        <f t="shared" si="2"/>
        <v/>
      </c>
      <c r="AJ47" t="str">
        <f t="shared" si="3"/>
        <v/>
      </c>
      <c r="AN47" t="str">
        <f>IF(AM47&lt;&gt;"",CONCATENATE(AC47," &amp; ",SUBSTITUTE(AJ47,","," ")," &amp; ",SUBSTITUTE(AF47,"."," ")," &amp; ",AL47," &amp; ",AM47," \\"),"")</f>
        <v/>
      </c>
    </row>
    <row r="48" spans="1:40" x14ac:dyDescent="0.2">
      <c r="A48" t="s">
        <v>91</v>
      </c>
      <c r="B48" t="s">
        <v>92</v>
      </c>
      <c r="C48">
        <v>0</v>
      </c>
      <c r="D48" t="s">
        <v>93</v>
      </c>
      <c r="E48" t="s">
        <v>93</v>
      </c>
      <c r="F48" t="s">
        <v>8</v>
      </c>
      <c r="G48" t="s">
        <v>91</v>
      </c>
      <c r="H48" t="s">
        <v>830</v>
      </c>
      <c r="I48" t="s">
        <v>2385</v>
      </c>
      <c r="J48" t="s">
        <v>1213</v>
      </c>
      <c r="K48" t="s">
        <v>2524</v>
      </c>
      <c r="L48" t="s">
        <v>1553</v>
      </c>
      <c r="M48" t="s">
        <v>876</v>
      </c>
      <c r="N48" t="s">
        <v>1876</v>
      </c>
      <c r="O48" t="s">
        <v>830</v>
      </c>
      <c r="P48" t="s">
        <v>2786</v>
      </c>
      <c r="Q48" t="s">
        <v>830</v>
      </c>
      <c r="T48" t="s">
        <v>830</v>
      </c>
      <c r="U48" t="s">
        <v>830</v>
      </c>
      <c r="W48" t="s">
        <v>2836</v>
      </c>
      <c r="X48" t="s">
        <v>2879</v>
      </c>
      <c r="Y48" t="s">
        <v>830</v>
      </c>
      <c r="Z48">
        <v>1</v>
      </c>
      <c r="AA48">
        <v>46</v>
      </c>
      <c r="AB48">
        <v>5</v>
      </c>
      <c r="AC48" t="str">
        <f t="shared" si="4"/>
        <v>BOWWAL</v>
      </c>
      <c r="AD48" t="s">
        <v>3207</v>
      </c>
      <c r="AE48" t="str">
        <f t="shared" si="1"/>
        <v>NAcetyldibenzazepine</v>
      </c>
      <c r="AF48" t="s">
        <v>3442</v>
      </c>
      <c r="AG48" s="15" t="s">
        <v>2887</v>
      </c>
      <c r="AH48" t="s">
        <v>2884</v>
      </c>
      <c r="AI48" t="str">
        <f t="shared" si="2"/>
        <v>CSD,version,6.01,with,Feb,2026,update</v>
      </c>
      <c r="AJ48" t="str">
        <f t="shared" si="3"/>
        <v>C16,H13,N1,O1</v>
      </c>
      <c r="AK48" t="s">
        <v>3417</v>
      </c>
      <c r="AL48">
        <v>1</v>
      </c>
      <c r="AM48">
        <v>1</v>
      </c>
      <c r="AN48" t="str">
        <f>IF(AM48&lt;&gt;"",CONCATENATE(AC48," &amp; \ce{",SUBSTITUTE(AJ48,","," "),"} &amp; ",SUBSTITUTE(AF48,"."," ")," &amp; ",AL48," &amp; ",AM48," \\"),"")</f>
        <v>BOWWAL &amp; \ce{C16 H13 N1 O1} &amp; N-Acetyldibenzazepine &amp; 1 &amp; 1 \\</v>
      </c>
    </row>
    <row r="49" spans="1:40" x14ac:dyDescent="0.2">
      <c r="A49" t="s">
        <v>94</v>
      </c>
      <c r="B49" t="s">
        <v>95</v>
      </c>
      <c r="C49">
        <v>0</v>
      </c>
      <c r="D49" t="s">
        <v>96</v>
      </c>
      <c r="E49" t="s">
        <v>96</v>
      </c>
      <c r="F49" t="s">
        <v>97</v>
      </c>
      <c r="G49" t="s">
        <v>94</v>
      </c>
      <c r="H49" t="s">
        <v>830</v>
      </c>
      <c r="I49" t="s">
        <v>1952</v>
      </c>
      <c r="J49" t="s">
        <v>1095</v>
      </c>
      <c r="K49" t="s">
        <v>843</v>
      </c>
      <c r="L49" t="s">
        <v>1553</v>
      </c>
      <c r="M49" t="s">
        <v>909</v>
      </c>
      <c r="N49" t="s">
        <v>1876</v>
      </c>
      <c r="O49" t="s">
        <v>830</v>
      </c>
      <c r="P49" t="s">
        <v>2586</v>
      </c>
      <c r="Q49" t="s">
        <v>830</v>
      </c>
      <c r="T49" t="s">
        <v>830</v>
      </c>
      <c r="U49" t="s">
        <v>830</v>
      </c>
      <c r="W49" t="s">
        <v>2034</v>
      </c>
      <c r="X49" t="s">
        <v>2030</v>
      </c>
      <c r="Y49" t="s">
        <v>830</v>
      </c>
      <c r="Z49">
        <v>1</v>
      </c>
      <c r="AA49">
        <v>427</v>
      </c>
      <c r="AB49">
        <v>15</v>
      </c>
      <c r="AC49" t="str">
        <f t="shared" si="4"/>
        <v>BRBZAO</v>
      </c>
      <c r="AD49" t="s">
        <v>2896</v>
      </c>
      <c r="AE49" t="str">
        <f t="shared" si="1"/>
        <v>2bromobenzamide</v>
      </c>
      <c r="AF49" t="s">
        <v>96</v>
      </c>
      <c r="AG49" s="15" t="s">
        <v>2885</v>
      </c>
      <c r="AH49" t="s">
        <v>2884</v>
      </c>
      <c r="AI49" t="str">
        <f t="shared" si="2"/>
        <v>CSD,version,6.01</v>
      </c>
      <c r="AJ49" t="str">
        <f t="shared" si="3"/>
        <v>C7,H6,N1,O1,Br1</v>
      </c>
      <c r="AL49">
        <v>1</v>
      </c>
      <c r="AM49">
        <v>1</v>
      </c>
      <c r="AN49" t="str">
        <f>IF(AM49&lt;&gt;"",CONCATENATE(AC49," &amp; \ce{",SUBSTITUTE(AJ49,","," "),"} &amp; ",SUBSTITUTE(AF49,"."," ")," &amp; ",AL49," &amp; ",AM49," \\"),"")</f>
        <v>BRBZAO &amp; \ce{C7 H6 N1 O1 Br1} &amp; 2-bromobenzamide &amp; 1 &amp; 1 \\</v>
      </c>
    </row>
    <row r="50" spans="1:40" x14ac:dyDescent="0.2">
      <c r="A50" t="s">
        <v>106</v>
      </c>
      <c r="B50" t="s">
        <v>107</v>
      </c>
      <c r="C50">
        <v>0</v>
      </c>
      <c r="D50" t="s">
        <v>108</v>
      </c>
      <c r="E50" t="s">
        <v>109</v>
      </c>
      <c r="F50" t="s">
        <v>8</v>
      </c>
      <c r="G50" t="s">
        <v>106</v>
      </c>
      <c r="H50" t="s">
        <v>830</v>
      </c>
      <c r="I50" t="s">
        <v>2385</v>
      </c>
      <c r="J50" t="s">
        <v>1152</v>
      </c>
      <c r="K50" t="s">
        <v>913</v>
      </c>
      <c r="L50" t="s">
        <v>1553</v>
      </c>
      <c r="M50" t="s">
        <v>883</v>
      </c>
      <c r="N50" t="s">
        <v>1876</v>
      </c>
      <c r="O50" t="s">
        <v>830</v>
      </c>
      <c r="P50" t="s">
        <v>883</v>
      </c>
      <c r="Q50" t="s">
        <v>830</v>
      </c>
      <c r="T50" t="s">
        <v>830</v>
      </c>
      <c r="U50" t="s">
        <v>830</v>
      </c>
      <c r="W50" t="s">
        <v>2581</v>
      </c>
      <c r="X50" s="4" t="s">
        <v>2609</v>
      </c>
      <c r="Y50" t="s">
        <v>830</v>
      </c>
      <c r="Z50">
        <v>1</v>
      </c>
      <c r="AA50">
        <v>1009</v>
      </c>
      <c r="AB50">
        <v>26.98</v>
      </c>
      <c r="AC50" t="str">
        <f t="shared" si="4"/>
        <v>BZPHAN</v>
      </c>
      <c r="AD50" t="s">
        <v>108</v>
      </c>
      <c r="AE50" t="str">
        <f t="shared" si="1"/>
        <v>Benzophenanthrene</v>
      </c>
      <c r="AF50" t="str">
        <f>AE50</f>
        <v>Benzophenanthrene</v>
      </c>
      <c r="AG50" s="15" t="s">
        <v>2889</v>
      </c>
      <c r="AH50" t="s">
        <v>2884</v>
      </c>
      <c r="AI50" t="str">
        <f t="shared" si="2"/>
        <v>CSD,version,6.01,with,Feb,2026,update</v>
      </c>
      <c r="AJ50" t="str">
        <f t="shared" si="3"/>
        <v>C18,H12</v>
      </c>
      <c r="AL50">
        <v>3</v>
      </c>
      <c r="AM50">
        <v>1</v>
      </c>
      <c r="AN50" t="str">
        <f>IF(AM50&lt;&gt;"",CONCATENATE(AC50," &amp; \ce{",SUBSTITUTE(AJ50,","," "),"} &amp; ",SUBSTITUTE(AF50,"."," ")," &amp; ",AL50," &amp; ",AM50," \\"),"")</f>
        <v>BZPHAN &amp; \ce{C18 H12} &amp; Benzophenanthrene &amp; 3 &amp; 1 \\</v>
      </c>
    </row>
    <row r="51" spans="1:40" s="8" customFormat="1" x14ac:dyDescent="0.2">
      <c r="A51" t="s">
        <v>106</v>
      </c>
      <c r="B51" t="s">
        <v>107</v>
      </c>
      <c r="C51">
        <v>1</v>
      </c>
      <c r="D51" t="s">
        <v>108</v>
      </c>
      <c r="E51" t="s">
        <v>109</v>
      </c>
      <c r="F51" t="s">
        <v>8</v>
      </c>
      <c r="G51" t="s">
        <v>106</v>
      </c>
      <c r="H51" t="s">
        <v>830</v>
      </c>
      <c r="I51" t="s">
        <v>2385</v>
      </c>
      <c r="J51" t="s">
        <v>1153</v>
      </c>
      <c r="K51" t="s">
        <v>913</v>
      </c>
      <c r="L51" t="s">
        <v>2442</v>
      </c>
      <c r="M51" t="s">
        <v>2505</v>
      </c>
      <c r="N51" t="s">
        <v>1876</v>
      </c>
      <c r="O51" t="s">
        <v>830</v>
      </c>
      <c r="P51" t="s">
        <v>2608</v>
      </c>
      <c r="Q51" t="s">
        <v>830</v>
      </c>
      <c r="R51"/>
      <c r="S51"/>
      <c r="T51" t="s">
        <v>830</v>
      </c>
      <c r="U51" t="s">
        <v>830</v>
      </c>
      <c r="V51"/>
      <c r="W51" t="s">
        <v>2581</v>
      </c>
      <c r="X51" t="s">
        <v>2610</v>
      </c>
      <c r="Y51" t="s">
        <v>830</v>
      </c>
      <c r="Z51">
        <v>1</v>
      </c>
      <c r="AA51">
        <v>362</v>
      </c>
      <c r="AB51">
        <v>17.95</v>
      </c>
      <c r="AC51" t="str">
        <f t="shared" si="4"/>
        <v/>
      </c>
      <c r="AD51"/>
      <c r="AE51" t="str">
        <f t="shared" si="1"/>
        <v/>
      </c>
      <c r="AF51"/>
      <c r="AG51" s="15"/>
      <c r="AH51"/>
      <c r="AI51" t="str">
        <f t="shared" si="2"/>
        <v/>
      </c>
      <c r="AJ51" t="str">
        <f t="shared" si="3"/>
        <v/>
      </c>
      <c r="AN51" t="str">
        <f>IF(AM51&lt;&gt;"",CONCATENATE(AC51," &amp; ",SUBSTITUTE(AJ51,","," ")," &amp; ",SUBSTITUTE(AF51,"."," ")," &amp; ",AL51," &amp; ",AM51," \\"),"")</f>
        <v/>
      </c>
    </row>
    <row r="52" spans="1:40" s="8" customFormat="1" x14ac:dyDescent="0.2">
      <c r="A52" t="s">
        <v>106</v>
      </c>
      <c r="B52" t="s">
        <v>107</v>
      </c>
      <c r="C52">
        <v>10</v>
      </c>
      <c r="D52" t="s">
        <v>108</v>
      </c>
      <c r="E52" t="s">
        <v>109</v>
      </c>
      <c r="F52" t="s">
        <v>8</v>
      </c>
      <c r="G52" t="s">
        <v>106</v>
      </c>
      <c r="H52" t="s">
        <v>830</v>
      </c>
      <c r="I52" t="s">
        <v>2385</v>
      </c>
      <c r="J52" t="s">
        <v>2584</v>
      </c>
      <c r="K52" t="s">
        <v>913</v>
      </c>
      <c r="L52" t="s">
        <v>2583</v>
      </c>
      <c r="M52" t="s">
        <v>883</v>
      </c>
      <c r="N52" t="s">
        <v>1876</v>
      </c>
      <c r="O52" t="s">
        <v>830</v>
      </c>
      <c r="P52" t="s">
        <v>883</v>
      </c>
      <c r="Q52" t="s">
        <v>830</v>
      </c>
      <c r="R52"/>
      <c r="S52"/>
      <c r="T52" t="s">
        <v>830</v>
      </c>
      <c r="U52" t="s">
        <v>830</v>
      </c>
      <c r="V52"/>
      <c r="W52" t="s">
        <v>2581</v>
      </c>
      <c r="X52" s="4" t="s">
        <v>2611</v>
      </c>
      <c r="Y52" t="s">
        <v>830</v>
      </c>
      <c r="Z52">
        <v>1</v>
      </c>
      <c r="AA52">
        <v>10</v>
      </c>
      <c r="AB52">
        <v>2.2599999999999998</v>
      </c>
      <c r="AC52" t="str">
        <f t="shared" si="4"/>
        <v/>
      </c>
      <c r="AD52"/>
      <c r="AE52" t="str">
        <f t="shared" si="1"/>
        <v/>
      </c>
      <c r="AF52"/>
      <c r="AG52" s="15"/>
      <c r="AH52"/>
      <c r="AI52" t="str">
        <f t="shared" si="2"/>
        <v/>
      </c>
      <c r="AJ52" t="str">
        <f t="shared" si="3"/>
        <v/>
      </c>
      <c r="AN52" t="str">
        <f>IF(AM52&lt;&gt;"",CONCATENATE(AC52," &amp; ",SUBSTITUTE(AJ52,","," ")," &amp; ",SUBSTITUTE(AF52,"."," ")," &amp; ",AL52," &amp; ",AM52," \\"),"")</f>
        <v/>
      </c>
    </row>
    <row r="53" spans="1:40" x14ac:dyDescent="0.2">
      <c r="A53" s="8" t="s">
        <v>106</v>
      </c>
      <c r="B53" s="8" t="s">
        <v>107</v>
      </c>
      <c r="C53" s="8">
        <v>2</v>
      </c>
      <c r="D53" s="8" t="s">
        <v>108</v>
      </c>
      <c r="E53" s="8" t="s">
        <v>109</v>
      </c>
      <c r="F53" s="8" t="s">
        <v>8</v>
      </c>
      <c r="G53" s="8" t="s">
        <v>106</v>
      </c>
      <c r="H53" s="8" t="s">
        <v>2582</v>
      </c>
      <c r="I53" s="8"/>
      <c r="J53" s="8"/>
      <c r="K53" s="8" t="s">
        <v>913</v>
      </c>
      <c r="L53" s="8"/>
      <c r="M53" s="8" t="s">
        <v>2505</v>
      </c>
      <c r="N53" s="8">
        <v>2010</v>
      </c>
      <c r="O53" s="8"/>
      <c r="P53" s="8"/>
      <c r="Q53" s="8"/>
      <c r="R53" s="8"/>
      <c r="S53" s="8"/>
      <c r="T53" s="8" t="s">
        <v>1598</v>
      </c>
      <c r="U53" s="8"/>
      <c r="V53" s="8"/>
      <c r="W53" s="8" t="s">
        <v>2581</v>
      </c>
      <c r="X53" s="8"/>
      <c r="Y53" s="8"/>
      <c r="Z53" s="8"/>
      <c r="AA53" s="8">
        <v>453</v>
      </c>
      <c r="AB53" s="8">
        <v>14.87</v>
      </c>
      <c r="AC53" t="str">
        <f t="shared" si="4"/>
        <v/>
      </c>
      <c r="AE53" t="str">
        <f t="shared" si="1"/>
        <v/>
      </c>
      <c r="AI53" t="str">
        <f t="shared" si="2"/>
        <v/>
      </c>
      <c r="AJ53" t="str">
        <f t="shared" si="3"/>
        <v/>
      </c>
      <c r="AN53" t="str">
        <f>IF(AM53&lt;&gt;"",CONCATENATE(AC53," &amp; ",SUBSTITUTE(AJ53,","," ")," &amp; ",SUBSTITUTE(AF53,"."," ")," &amp; ",AL53," &amp; ",AM53," \\"),"")</f>
        <v/>
      </c>
    </row>
    <row r="54" spans="1:40" x14ac:dyDescent="0.2">
      <c r="A54" t="s">
        <v>110</v>
      </c>
      <c r="B54" t="s">
        <v>111</v>
      </c>
      <c r="C54">
        <v>10</v>
      </c>
      <c r="D54" t="s">
        <v>112</v>
      </c>
      <c r="E54" t="s">
        <v>113</v>
      </c>
      <c r="F54" t="s">
        <v>114</v>
      </c>
      <c r="G54" t="s">
        <v>115</v>
      </c>
      <c r="H54" t="s">
        <v>830</v>
      </c>
      <c r="I54" t="s">
        <v>1538</v>
      </c>
      <c r="J54" t="s">
        <v>1393</v>
      </c>
      <c r="K54" t="s">
        <v>839</v>
      </c>
      <c r="L54" t="s">
        <v>1539</v>
      </c>
      <c r="M54" t="s">
        <v>2587</v>
      </c>
      <c r="N54">
        <v>2018</v>
      </c>
      <c r="O54" t="s">
        <v>830</v>
      </c>
      <c r="P54" t="s">
        <v>1602</v>
      </c>
      <c r="Q54" t="s">
        <v>830</v>
      </c>
      <c r="R54" t="s">
        <v>1540</v>
      </c>
      <c r="S54" t="s">
        <v>1541</v>
      </c>
      <c r="T54" t="s">
        <v>830</v>
      </c>
      <c r="U54" t="s">
        <v>830</v>
      </c>
      <c r="V54" t="s">
        <v>1542</v>
      </c>
      <c r="W54" t="s">
        <v>2034</v>
      </c>
      <c r="X54" t="s">
        <v>2048</v>
      </c>
      <c r="Y54" t="s">
        <v>830</v>
      </c>
      <c r="Z54">
        <v>2</v>
      </c>
      <c r="AA54">
        <v>4988</v>
      </c>
      <c r="AB54">
        <v>20</v>
      </c>
      <c r="AC54" t="str">
        <f t="shared" si="4"/>
        <v>BZYACO</v>
      </c>
      <c r="AD54" t="s">
        <v>112</v>
      </c>
      <c r="AE54" t="str">
        <f t="shared" si="1"/>
        <v>Chalcone</v>
      </c>
      <c r="AF54" t="str">
        <f>AE54</f>
        <v>Chalcone</v>
      </c>
      <c r="AG54" s="15" t="s">
        <v>2894</v>
      </c>
      <c r="AH54" t="s">
        <v>3061</v>
      </c>
      <c r="AI54" t="str">
        <f t="shared" si="2"/>
        <v>CSD,version,5.44,with,Jun,and,Sep,2023,updates</v>
      </c>
      <c r="AJ54" t="str">
        <f t="shared" si="3"/>
        <v>C15,H12,O1</v>
      </c>
      <c r="AK54" t="s">
        <v>3057</v>
      </c>
      <c r="AL54">
        <v>1</v>
      </c>
      <c r="AM54">
        <v>1</v>
      </c>
      <c r="AN54" t="str">
        <f>IF(AM54&lt;&gt;"",CONCATENATE(AC54," &amp; \ce{",SUBSTITUTE(AJ54,","," "),"} &amp; ",SUBSTITUTE(AF54,"."," ")," &amp; ",AL54," &amp; ",AM54," \\"),"")</f>
        <v>BZYACO &amp; \ce{C15 H12 O1} &amp; Chalcone &amp; 1 &amp; 1 \\</v>
      </c>
    </row>
    <row r="55" spans="1:40" x14ac:dyDescent="0.2">
      <c r="A55" t="s">
        <v>116</v>
      </c>
      <c r="B55" t="s">
        <v>117</v>
      </c>
      <c r="C55">
        <v>0</v>
      </c>
      <c r="D55" t="s">
        <v>118</v>
      </c>
      <c r="E55" t="s">
        <v>119</v>
      </c>
      <c r="F55" t="s">
        <v>120</v>
      </c>
      <c r="G55" t="s">
        <v>1577</v>
      </c>
      <c r="H55" t="s">
        <v>830</v>
      </c>
      <c r="I55" t="s">
        <v>1543</v>
      </c>
      <c r="J55" t="s">
        <v>1098</v>
      </c>
      <c r="K55" t="s">
        <v>846</v>
      </c>
      <c r="L55" t="s">
        <v>1558</v>
      </c>
      <c r="M55" t="s">
        <v>1559</v>
      </c>
      <c r="N55" t="s">
        <v>1561</v>
      </c>
      <c r="O55" t="s">
        <v>830</v>
      </c>
      <c r="P55" t="s">
        <v>1751</v>
      </c>
      <c r="Q55" t="s">
        <v>830</v>
      </c>
      <c r="T55" t="s">
        <v>830</v>
      </c>
      <c r="U55" t="s">
        <v>830</v>
      </c>
      <c r="W55" t="s">
        <v>1731</v>
      </c>
      <c r="X55" t="s">
        <v>1764</v>
      </c>
      <c r="Y55" t="s">
        <v>830</v>
      </c>
      <c r="Z55">
        <v>1</v>
      </c>
      <c r="AA55">
        <v>39</v>
      </c>
      <c r="AB55">
        <v>5</v>
      </c>
      <c r="AC55" t="str">
        <f t="shared" si="4"/>
        <v>CAGPUV</v>
      </c>
      <c r="AD55" t="s">
        <v>3101</v>
      </c>
      <c r="AE55" t="str">
        <f t="shared" si="1"/>
        <v>34-dichloronitrobenzene</v>
      </c>
      <c r="AF55" t="s">
        <v>3451</v>
      </c>
      <c r="AG55" s="15" t="s">
        <v>2889</v>
      </c>
      <c r="AH55" t="s">
        <v>3123</v>
      </c>
      <c r="AI55" t="str">
        <f t="shared" si="2"/>
        <v>CSD,version,5.45</v>
      </c>
      <c r="AJ55" t="str">
        <f t="shared" si="3"/>
        <v>C6,H3,N1,O2,Cl2</v>
      </c>
      <c r="AK55" t="s">
        <v>3124</v>
      </c>
      <c r="AL55">
        <v>2</v>
      </c>
      <c r="AM55">
        <v>4</v>
      </c>
      <c r="AN55" t="str">
        <f>IF(AM55&lt;&gt;"",CONCATENATE(AC55," &amp; \ce{",SUBSTITUTE(AJ55,","," "),"} &amp; ",SUBSTITUTE(AF55,"."," ")," &amp; ",AL55," &amp; ",AM55," \\"),"")</f>
        <v>CAGPUV &amp; \ce{C6 H3 N1 O2 Cl2} &amp; 3,4-dichloronitrobenzene &amp; 2 &amp; 4 \\</v>
      </c>
    </row>
    <row r="56" spans="1:40" x14ac:dyDescent="0.2">
      <c r="A56" t="s">
        <v>116</v>
      </c>
      <c r="B56" t="s">
        <v>117</v>
      </c>
      <c r="C56">
        <v>10</v>
      </c>
      <c r="D56" t="s">
        <v>118</v>
      </c>
      <c r="E56" t="s">
        <v>119</v>
      </c>
      <c r="F56" t="s">
        <v>120</v>
      </c>
      <c r="G56" t="s">
        <v>1577</v>
      </c>
      <c r="H56" t="s">
        <v>830</v>
      </c>
      <c r="I56" t="s">
        <v>1557</v>
      </c>
      <c r="J56" t="s">
        <v>1574</v>
      </c>
      <c r="K56" t="s">
        <v>839</v>
      </c>
      <c r="L56" t="s">
        <v>1472</v>
      </c>
      <c r="M56" t="s">
        <v>876</v>
      </c>
      <c r="N56" t="s">
        <v>1562</v>
      </c>
      <c r="O56" t="s">
        <v>830</v>
      </c>
      <c r="P56" t="s">
        <v>1751</v>
      </c>
      <c r="Q56" t="s">
        <v>830</v>
      </c>
      <c r="T56" t="s">
        <v>830</v>
      </c>
      <c r="U56" t="s">
        <v>830</v>
      </c>
      <c r="W56" t="s">
        <v>1731</v>
      </c>
      <c r="X56" t="s">
        <v>1765</v>
      </c>
      <c r="Y56" t="s">
        <v>830</v>
      </c>
      <c r="Z56">
        <v>1</v>
      </c>
      <c r="AA56">
        <v>867</v>
      </c>
      <c r="AB56">
        <v>20</v>
      </c>
      <c r="AC56" t="str">
        <f t="shared" si="4"/>
        <v/>
      </c>
      <c r="AE56" t="str">
        <f t="shared" si="1"/>
        <v/>
      </c>
      <c r="AI56" t="str">
        <f t="shared" si="2"/>
        <v/>
      </c>
      <c r="AJ56" t="str">
        <f t="shared" si="3"/>
        <v/>
      </c>
      <c r="AN56" t="str">
        <f>IF(AM56&lt;&gt;"",CONCATENATE(AC56," &amp; ",SUBSTITUTE(AJ56,","," ")," &amp; ",SUBSTITUTE(AF56,"."," ")," &amp; ",AL56," &amp; ",AM56," \\"),"")</f>
        <v/>
      </c>
    </row>
    <row r="57" spans="1:40" x14ac:dyDescent="0.2">
      <c r="A57" t="s">
        <v>116</v>
      </c>
      <c r="B57" t="s">
        <v>117</v>
      </c>
      <c r="C57">
        <v>20</v>
      </c>
      <c r="D57" t="s">
        <v>118</v>
      </c>
      <c r="E57" t="s">
        <v>119</v>
      </c>
      <c r="F57" t="s">
        <v>120</v>
      </c>
      <c r="G57" t="s">
        <v>1577</v>
      </c>
      <c r="H57" t="s">
        <v>830</v>
      </c>
      <c r="I57" t="s">
        <v>1557</v>
      </c>
      <c r="J57" t="s">
        <v>1575</v>
      </c>
      <c r="K57" t="s">
        <v>839</v>
      </c>
      <c r="L57" t="s">
        <v>1560</v>
      </c>
      <c r="M57" t="s">
        <v>876</v>
      </c>
      <c r="N57" t="s">
        <v>1562</v>
      </c>
      <c r="O57" t="s">
        <v>830</v>
      </c>
      <c r="P57" t="s">
        <v>1751</v>
      </c>
      <c r="Q57" t="s">
        <v>830</v>
      </c>
      <c r="T57" t="s">
        <v>830</v>
      </c>
      <c r="U57" t="s">
        <v>830</v>
      </c>
      <c r="W57" t="s">
        <v>1731</v>
      </c>
      <c r="X57" t="s">
        <v>1766</v>
      </c>
      <c r="Y57" t="s">
        <v>830</v>
      </c>
      <c r="Z57">
        <v>1</v>
      </c>
      <c r="AA57">
        <v>974</v>
      </c>
      <c r="AB57">
        <v>20</v>
      </c>
      <c r="AC57" t="str">
        <f t="shared" si="4"/>
        <v/>
      </c>
      <c r="AE57" t="str">
        <f t="shared" si="1"/>
        <v/>
      </c>
      <c r="AI57" t="str">
        <f t="shared" si="2"/>
        <v/>
      </c>
      <c r="AJ57" t="str">
        <f t="shared" si="3"/>
        <v/>
      </c>
      <c r="AN57" t="str">
        <f>IF(AM57&lt;&gt;"",CONCATENATE(AC57," &amp; ",SUBSTITUTE(AJ57,","," ")," &amp; ",SUBSTITUTE(AF57,"."," ")," &amp; ",AL57," &amp; ",AM57," \\"),"")</f>
        <v/>
      </c>
    </row>
    <row r="58" spans="1:40" x14ac:dyDescent="0.2">
      <c r="A58" t="s">
        <v>116</v>
      </c>
      <c r="B58" t="s">
        <v>117</v>
      </c>
      <c r="C58">
        <v>30</v>
      </c>
      <c r="D58" t="s">
        <v>118</v>
      </c>
      <c r="E58" t="s">
        <v>119</v>
      </c>
      <c r="F58" t="s">
        <v>120</v>
      </c>
      <c r="G58" t="s">
        <v>1577</v>
      </c>
      <c r="H58" t="s">
        <v>830</v>
      </c>
      <c r="I58" t="s">
        <v>1557</v>
      </c>
      <c r="J58" t="s">
        <v>1576</v>
      </c>
      <c r="K58" t="s">
        <v>839</v>
      </c>
      <c r="L58" t="s">
        <v>1565</v>
      </c>
      <c r="M58" t="s">
        <v>876</v>
      </c>
      <c r="N58" t="s">
        <v>1562</v>
      </c>
      <c r="O58" t="s">
        <v>830</v>
      </c>
      <c r="P58" t="s">
        <v>1751</v>
      </c>
      <c r="Q58" t="s">
        <v>830</v>
      </c>
      <c r="T58" t="s">
        <v>830</v>
      </c>
      <c r="U58" t="s">
        <v>830</v>
      </c>
      <c r="W58" t="s">
        <v>1731</v>
      </c>
      <c r="X58" t="s">
        <v>1767</v>
      </c>
      <c r="Y58" t="s">
        <v>830</v>
      </c>
      <c r="Z58">
        <v>1</v>
      </c>
      <c r="AA58">
        <v>867</v>
      </c>
      <c r="AB58">
        <v>20.997</v>
      </c>
      <c r="AC58" t="str">
        <f t="shared" si="4"/>
        <v/>
      </c>
      <c r="AE58" t="str">
        <f t="shared" si="1"/>
        <v/>
      </c>
      <c r="AI58" t="str">
        <f t="shared" si="2"/>
        <v/>
      </c>
      <c r="AJ58" t="str">
        <f t="shared" si="3"/>
        <v/>
      </c>
      <c r="AN58" t="str">
        <f>IF(AM58&lt;&gt;"",CONCATENATE(AC58," &amp; ",SUBSTITUTE(AJ58,","," ")," &amp; ",SUBSTITUTE(AF58,"."," ")," &amp; ",AL58," &amp; ",AM58," \\"),"")</f>
        <v/>
      </c>
    </row>
    <row r="59" spans="1:40" x14ac:dyDescent="0.2">
      <c r="A59" t="s">
        <v>121</v>
      </c>
      <c r="B59" t="s">
        <v>122</v>
      </c>
      <c r="C59">
        <v>10</v>
      </c>
      <c r="D59" t="s">
        <v>123</v>
      </c>
      <c r="E59" t="s">
        <v>124</v>
      </c>
      <c r="F59" t="s">
        <v>8</v>
      </c>
      <c r="G59" t="s">
        <v>1475</v>
      </c>
      <c r="H59" t="s">
        <v>830</v>
      </c>
      <c r="I59" t="s">
        <v>1477</v>
      </c>
      <c r="J59" t="s">
        <v>1327</v>
      </c>
      <c r="K59" t="s">
        <v>847</v>
      </c>
      <c r="L59" t="s">
        <v>938</v>
      </c>
      <c r="M59" t="s">
        <v>3420</v>
      </c>
      <c r="N59">
        <v>2016</v>
      </c>
      <c r="O59" t="s">
        <v>830</v>
      </c>
      <c r="P59" t="s">
        <v>1494</v>
      </c>
      <c r="Q59" t="s">
        <v>830</v>
      </c>
      <c r="R59" t="s">
        <v>931</v>
      </c>
      <c r="S59" t="s">
        <v>1476</v>
      </c>
      <c r="T59" t="s">
        <v>830</v>
      </c>
      <c r="U59" t="s">
        <v>830</v>
      </c>
      <c r="W59" t="s">
        <v>1958</v>
      </c>
      <c r="X59" t="s">
        <v>1959</v>
      </c>
      <c r="Y59" t="s">
        <v>830</v>
      </c>
      <c r="Z59">
        <v>3</v>
      </c>
      <c r="AA59">
        <v>296</v>
      </c>
      <c r="AB59">
        <v>15</v>
      </c>
      <c r="AC59" t="str">
        <f t="shared" si="4"/>
        <v>CANDUR</v>
      </c>
      <c r="AD59" t="s">
        <v>3063</v>
      </c>
      <c r="AE59" t="str">
        <f t="shared" si="1"/>
        <v>Oxcarbazepine</v>
      </c>
      <c r="AF59" t="str">
        <f>AE59</f>
        <v>Oxcarbazepine</v>
      </c>
      <c r="AG59" s="15" t="s">
        <v>3062</v>
      </c>
      <c r="AH59" t="s">
        <v>3061</v>
      </c>
      <c r="AI59" t="str">
        <f t="shared" si="2"/>
        <v>CSD,version,5.43,with,Mar,,Jun,,Sep,and,Nov,2022,updates</v>
      </c>
      <c r="AJ59" t="str">
        <f t="shared" si="3"/>
        <v>C15,H12,N2,O2</v>
      </c>
      <c r="AK59" t="s">
        <v>3418</v>
      </c>
      <c r="AL59">
        <v>1</v>
      </c>
      <c r="AM59">
        <v>2</v>
      </c>
      <c r="AN59" t="str">
        <f>IF(AM59&lt;&gt;"",CONCATENATE(AC59," &amp; \ce{",SUBSTITUTE(AJ59,","," "),"} &amp; ",SUBSTITUTE(AF59,"."," ")," &amp; ",AL59," &amp; ",AM59," \\"),"")</f>
        <v>CANDUR &amp; \ce{C15 H12 N2 O2} &amp; Oxcarbazepine &amp; 1 &amp; 2 \\</v>
      </c>
    </row>
    <row r="60" spans="1:40" x14ac:dyDescent="0.2">
      <c r="A60" t="s">
        <v>121</v>
      </c>
      <c r="B60" t="s">
        <v>122</v>
      </c>
      <c r="C60">
        <v>30</v>
      </c>
      <c r="D60" t="s">
        <v>123</v>
      </c>
      <c r="E60" t="s">
        <v>124</v>
      </c>
      <c r="F60" t="s">
        <v>8</v>
      </c>
      <c r="G60" t="s">
        <v>1475</v>
      </c>
      <c r="H60" t="s">
        <v>830</v>
      </c>
      <c r="I60" t="s">
        <v>1477</v>
      </c>
      <c r="J60" t="s">
        <v>1328</v>
      </c>
      <c r="K60" t="s">
        <v>847</v>
      </c>
      <c r="L60" t="s">
        <v>933</v>
      </c>
      <c r="M60" t="s">
        <v>3421</v>
      </c>
      <c r="N60">
        <v>2016</v>
      </c>
      <c r="O60" t="s">
        <v>830</v>
      </c>
      <c r="P60" t="s">
        <v>891</v>
      </c>
      <c r="Q60" t="s">
        <v>830</v>
      </c>
      <c r="R60" t="s">
        <v>891</v>
      </c>
      <c r="S60" t="s">
        <v>937</v>
      </c>
      <c r="T60" t="s">
        <v>830</v>
      </c>
      <c r="U60" t="s">
        <v>830</v>
      </c>
      <c r="W60" t="s">
        <v>1958</v>
      </c>
      <c r="X60" t="s">
        <v>1960</v>
      </c>
      <c r="Y60" t="s">
        <v>830</v>
      </c>
      <c r="Z60">
        <v>3</v>
      </c>
      <c r="AA60">
        <v>296</v>
      </c>
      <c r="AB60">
        <v>22.341999999999999</v>
      </c>
      <c r="AC60" t="str">
        <f t="shared" si="4"/>
        <v/>
      </c>
      <c r="AE60" t="str">
        <f t="shared" si="1"/>
        <v/>
      </c>
      <c r="AI60" t="str">
        <f t="shared" si="2"/>
        <v/>
      </c>
      <c r="AJ60" t="str">
        <f t="shared" si="3"/>
        <v/>
      </c>
      <c r="AN60" t="str">
        <f>IF(AM60&lt;&gt;"",CONCATENATE(AC60," &amp; ",SUBSTITUTE(AJ60,","," ")," &amp; ",SUBSTITUTE(AF60,"."," ")," &amp; ",AL60," &amp; ",AM60," \\"),"")</f>
        <v/>
      </c>
    </row>
    <row r="61" spans="1:40" x14ac:dyDescent="0.2">
      <c r="A61" t="s">
        <v>1010</v>
      </c>
      <c r="B61" t="s">
        <v>2184</v>
      </c>
      <c r="C61">
        <v>10</v>
      </c>
      <c r="D61" t="s">
        <v>1011</v>
      </c>
      <c r="E61" t="s">
        <v>1012</v>
      </c>
      <c r="G61" t="s">
        <v>2131</v>
      </c>
      <c r="H61" t="s">
        <v>830</v>
      </c>
      <c r="I61" t="s">
        <v>1952</v>
      </c>
      <c r="J61" t="s">
        <v>1014</v>
      </c>
      <c r="K61" t="s">
        <v>997</v>
      </c>
      <c r="L61" t="s">
        <v>1013</v>
      </c>
      <c r="M61" t="s">
        <v>1887</v>
      </c>
      <c r="N61" t="s">
        <v>968</v>
      </c>
      <c r="O61" t="s">
        <v>830</v>
      </c>
      <c r="P61" t="s">
        <v>2134</v>
      </c>
      <c r="Q61" t="s">
        <v>830</v>
      </c>
      <c r="T61" t="s">
        <v>830</v>
      </c>
      <c r="U61" t="s">
        <v>830</v>
      </c>
      <c r="W61" t="s">
        <v>2250</v>
      </c>
      <c r="X61" t="s">
        <v>2179</v>
      </c>
      <c r="Y61" t="s">
        <v>830</v>
      </c>
      <c r="Z61">
        <v>1</v>
      </c>
      <c r="AA61">
        <v>108</v>
      </c>
      <c r="AB61">
        <v>39.335999999999999</v>
      </c>
      <c r="AC61" t="str">
        <f t="shared" si="4"/>
        <v>CANNOL</v>
      </c>
      <c r="AD61" s="4" t="s">
        <v>2982</v>
      </c>
      <c r="AE61" t="str">
        <f t="shared" si="1"/>
        <v>Cannabinol</v>
      </c>
      <c r="AF61" t="s">
        <v>3000</v>
      </c>
      <c r="AG61" s="16" t="s">
        <v>2925</v>
      </c>
      <c r="AH61" s="4" t="s">
        <v>2884</v>
      </c>
      <c r="AI61" t="str">
        <f t="shared" si="2"/>
        <v>CSD,version,6.01</v>
      </c>
      <c r="AJ61" t="str">
        <f t="shared" si="3"/>
        <v>C21,H26,O2</v>
      </c>
      <c r="AK61" t="s">
        <v>3059</v>
      </c>
      <c r="AL61">
        <v>1</v>
      </c>
      <c r="AM61">
        <v>1</v>
      </c>
      <c r="AN61" t="str">
        <f>IF(AM61&lt;&gt;"",CONCATENATE(AC61," &amp; \ce{",SUBSTITUTE(AJ61,","," "),"} &amp; ",SUBSTITUTE(AF61,"."," ")," &amp; ",AL61," &amp; ",AM61," \\"),"")</f>
        <v>CANNOL &amp; \ce{C21 H26 O2} &amp; Cannabinol (component of Blind Test XXX) &amp; 1 &amp; 1 \\</v>
      </c>
    </row>
    <row r="62" spans="1:40" x14ac:dyDescent="0.2">
      <c r="A62" t="s">
        <v>125</v>
      </c>
      <c r="B62" t="s">
        <v>126</v>
      </c>
      <c r="C62">
        <v>0</v>
      </c>
      <c r="D62" t="s">
        <v>127</v>
      </c>
      <c r="E62" t="s">
        <v>128</v>
      </c>
      <c r="F62" t="s">
        <v>8</v>
      </c>
      <c r="G62" t="s">
        <v>129</v>
      </c>
      <c r="H62" t="s">
        <v>830</v>
      </c>
      <c r="I62" t="s">
        <v>2385</v>
      </c>
      <c r="J62" t="s">
        <v>1178</v>
      </c>
      <c r="K62" t="s">
        <v>838</v>
      </c>
      <c r="L62" t="s">
        <v>1553</v>
      </c>
      <c r="M62" t="s">
        <v>876</v>
      </c>
      <c r="N62">
        <v>2005</v>
      </c>
      <c r="O62" t="s">
        <v>830</v>
      </c>
      <c r="P62" t="s">
        <v>2541</v>
      </c>
      <c r="Q62" t="s">
        <v>830</v>
      </c>
      <c r="T62" t="s">
        <v>830</v>
      </c>
      <c r="U62" t="s">
        <v>830</v>
      </c>
      <c r="W62" t="s">
        <v>2526</v>
      </c>
      <c r="X62" t="s">
        <v>2542</v>
      </c>
      <c r="Y62" t="s">
        <v>830</v>
      </c>
      <c r="Z62">
        <v>1</v>
      </c>
      <c r="AA62">
        <v>208</v>
      </c>
      <c r="AB62">
        <v>18.190000000000001</v>
      </c>
      <c r="AC62" t="str">
        <f t="shared" si="4"/>
        <v>CAXKOB</v>
      </c>
      <c r="AD62" s="4" t="s">
        <v>3208</v>
      </c>
      <c r="AE62" t="str">
        <f t="shared" si="1"/>
        <v>Deazauracil</v>
      </c>
      <c r="AF62" t="str">
        <f>AE62</f>
        <v>Deazauracil</v>
      </c>
      <c r="AG62" s="15" t="s">
        <v>2889</v>
      </c>
      <c r="AH62" s="4" t="s">
        <v>3135</v>
      </c>
      <c r="AI62" t="str">
        <f t="shared" si="2"/>
        <v>CSD,version,6.01,with,Feb,2026,update</v>
      </c>
      <c r="AJ62" t="str">
        <f t="shared" si="3"/>
        <v>C5,H5,N1,O2</v>
      </c>
      <c r="AL62">
        <v>3</v>
      </c>
      <c r="AM62">
        <v>3</v>
      </c>
      <c r="AN62" t="str">
        <f>IF(AM62&lt;&gt;"",CONCATENATE(AC62," &amp; \ce{",SUBSTITUTE(AJ62,","," "),"} &amp; ",SUBSTITUTE(AF62,"."," ")," &amp; ",AL62," &amp; ",AM62," \\"),"")</f>
        <v>CAXKOB &amp; \ce{C5 H5 N1 O2} &amp; Deazauracil &amp; 3 &amp; 3 \\</v>
      </c>
    </row>
    <row r="63" spans="1:40" x14ac:dyDescent="0.2">
      <c r="A63" t="s">
        <v>125</v>
      </c>
      <c r="B63" t="s">
        <v>126</v>
      </c>
      <c r="C63">
        <v>1</v>
      </c>
      <c r="D63" t="s">
        <v>127</v>
      </c>
      <c r="E63" t="s">
        <v>130</v>
      </c>
      <c r="F63" t="s">
        <v>8</v>
      </c>
      <c r="G63" t="s">
        <v>129</v>
      </c>
      <c r="H63" t="s">
        <v>830</v>
      </c>
      <c r="I63" t="s">
        <v>2385</v>
      </c>
      <c r="J63" t="s">
        <v>1177</v>
      </c>
      <c r="K63" t="s">
        <v>838</v>
      </c>
      <c r="L63" t="s">
        <v>1553</v>
      </c>
      <c r="M63" t="s">
        <v>876</v>
      </c>
      <c r="N63">
        <v>2005</v>
      </c>
      <c r="O63" t="s">
        <v>830</v>
      </c>
      <c r="P63" t="s">
        <v>2541</v>
      </c>
      <c r="Q63" t="s">
        <v>830</v>
      </c>
      <c r="T63" t="s">
        <v>830</v>
      </c>
      <c r="U63" t="s">
        <v>830</v>
      </c>
      <c r="W63" t="s">
        <v>2526</v>
      </c>
      <c r="X63" t="s">
        <v>2543</v>
      </c>
      <c r="Y63" t="s">
        <v>830</v>
      </c>
      <c r="Z63">
        <v>0</v>
      </c>
      <c r="AA63">
        <v>19</v>
      </c>
      <c r="AB63">
        <v>10</v>
      </c>
      <c r="AC63" t="str">
        <f t="shared" si="4"/>
        <v/>
      </c>
      <c r="AE63" t="str">
        <f t="shared" si="1"/>
        <v/>
      </c>
      <c r="AI63" t="str">
        <f t="shared" si="2"/>
        <v/>
      </c>
      <c r="AJ63" t="str">
        <f t="shared" si="3"/>
        <v/>
      </c>
      <c r="AN63" t="str">
        <f>IF(AM63&lt;&gt;"",CONCATENATE(AC63," &amp; ",SUBSTITUTE(AJ63,","," ")," &amp; ",SUBSTITUTE(AF63,"."," ")," &amp; ",AL63," &amp; ",AM63," \\"),"")</f>
        <v/>
      </c>
    </row>
    <row r="64" spans="1:40" x14ac:dyDescent="0.2">
      <c r="A64" t="s">
        <v>125</v>
      </c>
      <c r="B64" t="s">
        <v>126</v>
      </c>
      <c r="C64">
        <v>2</v>
      </c>
      <c r="D64" t="s">
        <v>127</v>
      </c>
      <c r="E64" t="s">
        <v>131</v>
      </c>
      <c r="F64" t="s">
        <v>8</v>
      </c>
      <c r="G64" t="s">
        <v>129</v>
      </c>
      <c r="H64" t="s">
        <v>830</v>
      </c>
      <c r="I64" t="s">
        <v>2385</v>
      </c>
      <c r="J64" t="s">
        <v>1176</v>
      </c>
      <c r="K64" t="s">
        <v>838</v>
      </c>
      <c r="L64" t="s">
        <v>1553</v>
      </c>
      <c r="M64" t="s">
        <v>876</v>
      </c>
      <c r="N64">
        <v>2005</v>
      </c>
      <c r="O64" t="s">
        <v>830</v>
      </c>
      <c r="P64" t="s">
        <v>2541</v>
      </c>
      <c r="Q64" t="s">
        <v>830</v>
      </c>
      <c r="T64" t="s">
        <v>830</v>
      </c>
      <c r="U64" t="s">
        <v>830</v>
      </c>
      <c r="W64" t="s">
        <v>2526</v>
      </c>
      <c r="X64" t="s">
        <v>2544</v>
      </c>
      <c r="Y64" t="s">
        <v>830</v>
      </c>
      <c r="Z64">
        <v>0</v>
      </c>
      <c r="AA64">
        <v>59</v>
      </c>
      <c r="AB64">
        <v>10</v>
      </c>
      <c r="AC64" t="str">
        <f t="shared" si="4"/>
        <v/>
      </c>
      <c r="AE64" t="str">
        <f t="shared" si="1"/>
        <v/>
      </c>
      <c r="AI64" t="str">
        <f t="shared" si="2"/>
        <v/>
      </c>
      <c r="AJ64" t="str">
        <f t="shared" si="3"/>
        <v/>
      </c>
      <c r="AN64" t="str">
        <f>IF(AM64&lt;&gt;"",CONCATENATE(AC64," &amp; ",SUBSTITUTE(AJ64,","," ")," &amp; ",SUBSTITUTE(AF64,"."," ")," &amp; ",AL64," &amp; ",AM64," \\"),"")</f>
        <v/>
      </c>
    </row>
    <row r="65" spans="1:40" ht="15" x14ac:dyDescent="0.25">
      <c r="A65" t="s">
        <v>132</v>
      </c>
      <c r="B65" s="17" t="s">
        <v>3010</v>
      </c>
      <c r="C65">
        <v>0</v>
      </c>
      <c r="D65" t="s">
        <v>133</v>
      </c>
      <c r="E65" t="s">
        <v>134</v>
      </c>
      <c r="F65" t="s">
        <v>1670</v>
      </c>
      <c r="G65" t="s">
        <v>136</v>
      </c>
      <c r="H65" t="s">
        <v>830</v>
      </c>
      <c r="I65" t="s">
        <v>1477</v>
      </c>
      <c r="J65" t="s">
        <v>1159</v>
      </c>
      <c r="K65" t="s">
        <v>844</v>
      </c>
      <c r="L65" t="s">
        <v>1553</v>
      </c>
      <c r="M65" t="s">
        <v>917</v>
      </c>
      <c r="N65">
        <v>2005</v>
      </c>
      <c r="O65" t="s">
        <v>830</v>
      </c>
      <c r="P65" t="s">
        <v>1491</v>
      </c>
      <c r="Q65" t="s">
        <v>830</v>
      </c>
      <c r="T65" t="s">
        <v>830</v>
      </c>
      <c r="U65" t="s">
        <v>830</v>
      </c>
      <c r="W65" t="s">
        <v>1730</v>
      </c>
      <c r="X65" t="s">
        <v>1673</v>
      </c>
      <c r="Y65" t="s">
        <v>830</v>
      </c>
      <c r="AA65">
        <v>30</v>
      </c>
      <c r="AB65">
        <v>10</v>
      </c>
      <c r="AC65" t="str">
        <f t="shared" si="4"/>
        <v>CBMZPN</v>
      </c>
      <c r="AD65" s="4" t="s">
        <v>3064</v>
      </c>
      <c r="AE65" t="str">
        <f t="shared" si="1"/>
        <v>Carbamazepine</v>
      </c>
      <c r="AF65" t="str">
        <f>AE65</f>
        <v>Carbamazepine</v>
      </c>
      <c r="AG65" s="15" t="s">
        <v>3062</v>
      </c>
      <c r="AH65" s="4" t="s">
        <v>3061</v>
      </c>
      <c r="AI65" t="str">
        <f t="shared" si="2"/>
        <v>CSD,version,5.43,with,Mar,,Jun,,Sep,and,Nov,2022,updates</v>
      </c>
      <c r="AJ65" t="str">
        <f t="shared" si="3"/>
        <v>C15,H12,N2,O1</v>
      </c>
      <c r="AK65" t="s">
        <v>3418</v>
      </c>
      <c r="AL65">
        <v>2</v>
      </c>
      <c r="AM65">
        <v>4</v>
      </c>
      <c r="AN65" t="str">
        <f>IF(AM65&lt;&gt;"",CONCATENATE(AC65," &amp; \ce{",SUBSTITUTE(AJ65,","," "),"} &amp; ",SUBSTITUTE(AF65,"."," ")," &amp; ",AL65," &amp; ",AM65," \\"),"")</f>
        <v>CBMZPN &amp; \ce{C15 H12 N2 O1} &amp; Carbamazepine &amp; 2 &amp; 4 \\</v>
      </c>
    </row>
    <row r="66" spans="1:40" ht="15" x14ac:dyDescent="0.25">
      <c r="A66" t="s">
        <v>132</v>
      </c>
      <c r="B66" s="17" t="s">
        <v>3010</v>
      </c>
      <c r="C66">
        <v>10</v>
      </c>
      <c r="D66" t="s">
        <v>133</v>
      </c>
      <c r="E66" t="s">
        <v>134</v>
      </c>
      <c r="F66" t="s">
        <v>1670</v>
      </c>
      <c r="G66" t="s">
        <v>136</v>
      </c>
      <c r="H66" t="s">
        <v>830</v>
      </c>
      <c r="I66" t="s">
        <v>1477</v>
      </c>
      <c r="J66" t="s">
        <v>2391</v>
      </c>
      <c r="K66" t="s">
        <v>1668</v>
      </c>
      <c r="L66" t="s">
        <v>1663</v>
      </c>
      <c r="M66" t="s">
        <v>881</v>
      </c>
      <c r="N66">
        <v>2005</v>
      </c>
      <c r="O66" t="s">
        <v>830</v>
      </c>
      <c r="P66" t="s">
        <v>1491</v>
      </c>
      <c r="Q66" t="s">
        <v>830</v>
      </c>
      <c r="T66" t="s">
        <v>830</v>
      </c>
      <c r="U66" t="s">
        <v>830</v>
      </c>
      <c r="W66" t="s">
        <v>1730</v>
      </c>
      <c r="X66" t="s">
        <v>1674</v>
      </c>
      <c r="Y66" t="s">
        <v>830</v>
      </c>
      <c r="AA66">
        <v>29</v>
      </c>
      <c r="AB66">
        <v>10.87</v>
      </c>
      <c r="AC66" t="str">
        <f t="shared" ref="AC66:AC97" si="5">IF(AND(A66&lt;&gt;A65,T66="Yes"),A66,"")</f>
        <v/>
      </c>
      <c r="AE66" t="str">
        <f t="shared" ref="AE66:AE129" si="6">IF(AC66="","",MID(X66,1,(FIND("_",X66))-1))</f>
        <v/>
      </c>
      <c r="AI66" t="str">
        <f t="shared" ref="AI66:AI129" si="7">IF(AC66="","",SUBSTITUTE(IF(MID(I66,1,5)="Yes, ",MID(I66,6,100),I66)," ",","))</f>
        <v/>
      </c>
      <c r="AJ66" t="str">
        <f t="shared" ref="AJ66:AJ129" si="8">IF(AC66="","",SUBSTITUTE(B66," ",","))</f>
        <v/>
      </c>
      <c r="AN66" t="str">
        <f>IF(AM66&lt;&gt;"",CONCATENATE(AC66," &amp; ",SUBSTITUTE(AJ66,","," ")," &amp; ",SUBSTITUTE(AF66,"."," ")," &amp; ",AL66," &amp; ",AM66," \\"),"")</f>
        <v/>
      </c>
    </row>
    <row r="67" spans="1:40" ht="15" x14ac:dyDescent="0.25">
      <c r="A67" t="s">
        <v>132</v>
      </c>
      <c r="B67" s="17" t="s">
        <v>3010</v>
      </c>
      <c r="C67">
        <v>12</v>
      </c>
      <c r="D67" t="s">
        <v>133</v>
      </c>
      <c r="E67" t="s">
        <v>134</v>
      </c>
      <c r="F67" t="s">
        <v>135</v>
      </c>
      <c r="G67" t="s">
        <v>136</v>
      </c>
      <c r="H67" t="s">
        <v>830</v>
      </c>
      <c r="I67" t="s">
        <v>1477</v>
      </c>
      <c r="J67" t="s">
        <v>1323</v>
      </c>
      <c r="K67" t="s">
        <v>847</v>
      </c>
      <c r="L67" t="s">
        <v>1492</v>
      </c>
      <c r="M67" t="s">
        <v>930</v>
      </c>
      <c r="N67">
        <v>2016</v>
      </c>
      <c r="O67" t="s">
        <v>830</v>
      </c>
      <c r="P67" t="s">
        <v>1669</v>
      </c>
      <c r="Q67" t="s">
        <v>830</v>
      </c>
      <c r="S67" t="s">
        <v>931</v>
      </c>
      <c r="T67" t="s">
        <v>830</v>
      </c>
      <c r="U67" t="s">
        <v>830</v>
      </c>
      <c r="W67" t="s">
        <v>1730</v>
      </c>
      <c r="X67" t="s">
        <v>1671</v>
      </c>
      <c r="Y67" t="s">
        <v>830</v>
      </c>
      <c r="Z67">
        <v>5</v>
      </c>
      <c r="AA67">
        <v>356</v>
      </c>
      <c r="AB67">
        <v>15</v>
      </c>
      <c r="AC67" t="str">
        <f t="shared" si="5"/>
        <v/>
      </c>
      <c r="AE67" t="str">
        <f t="shared" si="6"/>
        <v/>
      </c>
      <c r="AI67" t="str">
        <f t="shared" si="7"/>
        <v/>
      </c>
      <c r="AJ67" t="str">
        <f t="shared" si="8"/>
        <v/>
      </c>
      <c r="AN67" t="str">
        <f>IF(AM67&lt;&gt;"",CONCATENATE(AC67," &amp; ",SUBSTITUTE(AJ67,","," ")," &amp; ",SUBSTITUTE(AF67,"."," ")," &amp; ",AL67," &amp; ",AM67," \\"),"")</f>
        <v/>
      </c>
    </row>
    <row r="68" spans="1:40" ht="15" x14ac:dyDescent="0.25">
      <c r="A68" t="s">
        <v>132</v>
      </c>
      <c r="B68" s="17" t="s">
        <v>3010</v>
      </c>
      <c r="C68">
        <v>30</v>
      </c>
      <c r="D68" t="s">
        <v>133</v>
      </c>
      <c r="E68" t="s">
        <v>134</v>
      </c>
      <c r="F68" t="s">
        <v>135</v>
      </c>
      <c r="G68" t="s">
        <v>136</v>
      </c>
      <c r="H68" t="s">
        <v>830</v>
      </c>
      <c r="I68" t="s">
        <v>1477</v>
      </c>
      <c r="J68" t="s">
        <v>1324</v>
      </c>
      <c r="K68" t="s">
        <v>847</v>
      </c>
      <c r="L68" t="s">
        <v>1642</v>
      </c>
      <c r="M68" t="s">
        <v>930</v>
      </c>
      <c r="N68">
        <v>2016</v>
      </c>
      <c r="O68" t="s">
        <v>830</v>
      </c>
      <c r="P68" t="s">
        <v>1491</v>
      </c>
      <c r="Q68" t="s">
        <v>830</v>
      </c>
      <c r="S68" t="s">
        <v>934</v>
      </c>
      <c r="T68" t="s">
        <v>830</v>
      </c>
      <c r="U68" t="s">
        <v>830</v>
      </c>
      <c r="W68" t="s">
        <v>1730</v>
      </c>
      <c r="X68" t="s">
        <v>1672</v>
      </c>
      <c r="Y68" t="s">
        <v>830</v>
      </c>
      <c r="Z68">
        <v>5</v>
      </c>
      <c r="AA68">
        <v>355</v>
      </c>
      <c r="AB68">
        <v>20</v>
      </c>
      <c r="AC68" t="str">
        <f t="shared" si="5"/>
        <v/>
      </c>
      <c r="AE68" t="str">
        <f t="shared" si="6"/>
        <v/>
      </c>
      <c r="AI68" t="str">
        <f t="shared" si="7"/>
        <v/>
      </c>
      <c r="AJ68" t="str">
        <f t="shared" si="8"/>
        <v/>
      </c>
      <c r="AN68" t="str">
        <f>IF(AM68&lt;&gt;"",CONCATENATE(AC68," &amp; ",SUBSTITUTE(AJ68,","," ")," &amp; ",SUBSTITUTE(AF68,"."," ")," &amp; ",AL68," &amp; ",AM68," \\"),"")</f>
        <v/>
      </c>
    </row>
    <row r="69" spans="1:40" x14ac:dyDescent="0.2">
      <c r="A69" s="8" t="s">
        <v>132</v>
      </c>
      <c r="B69" s="8" t="s">
        <v>137</v>
      </c>
      <c r="C69" s="8">
        <v>11</v>
      </c>
      <c r="D69" s="8" t="s">
        <v>138</v>
      </c>
      <c r="E69" s="8" t="s">
        <v>134</v>
      </c>
      <c r="F69" s="8" t="s">
        <v>135</v>
      </c>
      <c r="G69" s="8" t="s">
        <v>139</v>
      </c>
      <c r="H69" t="s">
        <v>2503</v>
      </c>
      <c r="J69" t="s">
        <v>1161</v>
      </c>
      <c r="T69" t="s">
        <v>1598</v>
      </c>
      <c r="W69" t="s">
        <v>1730</v>
      </c>
      <c r="X69" t="s">
        <v>1649</v>
      </c>
      <c r="Y69" t="s">
        <v>1598</v>
      </c>
      <c r="AA69" s="8">
        <v>29</v>
      </c>
      <c r="AB69" s="8">
        <v>10</v>
      </c>
      <c r="AC69" t="str">
        <f t="shared" si="5"/>
        <v/>
      </c>
      <c r="AE69" t="str">
        <f t="shared" si="6"/>
        <v/>
      </c>
      <c r="AI69" t="str">
        <f t="shared" si="7"/>
        <v/>
      </c>
      <c r="AJ69" t="str">
        <f t="shared" si="8"/>
        <v/>
      </c>
      <c r="AN69" t="str">
        <f>IF(AM69&lt;&gt;"",CONCATENATE(AC69," &amp; ",SUBSTITUTE(AJ69,","," ")," &amp; ",SUBSTITUTE(AF69,"."," ")," &amp; ",AL69," &amp; ",AM69," \\"),"")</f>
        <v/>
      </c>
    </row>
    <row r="70" spans="1:40" x14ac:dyDescent="0.2">
      <c r="A70" t="s">
        <v>140</v>
      </c>
      <c r="B70" t="s">
        <v>141</v>
      </c>
      <c r="C70">
        <v>0</v>
      </c>
      <c r="D70" t="s">
        <v>142</v>
      </c>
      <c r="E70" t="s">
        <v>142</v>
      </c>
      <c r="F70" t="s">
        <v>8</v>
      </c>
      <c r="H70" t="s">
        <v>830</v>
      </c>
      <c r="I70" t="s">
        <v>2385</v>
      </c>
      <c r="J70" t="s">
        <v>1162</v>
      </c>
      <c r="K70" t="s">
        <v>2524</v>
      </c>
      <c r="L70" t="s">
        <v>1553</v>
      </c>
      <c r="M70" t="s">
        <v>876</v>
      </c>
      <c r="N70" t="s">
        <v>1876</v>
      </c>
      <c r="O70" t="s">
        <v>830</v>
      </c>
      <c r="P70" t="s">
        <v>2787</v>
      </c>
      <c r="Q70" t="s">
        <v>830</v>
      </c>
      <c r="T70" t="s">
        <v>830</v>
      </c>
      <c r="U70" t="s">
        <v>830</v>
      </c>
      <c r="W70" t="s">
        <v>2836</v>
      </c>
      <c r="X70" t="s">
        <v>2790</v>
      </c>
      <c r="Y70" t="s">
        <v>830</v>
      </c>
      <c r="Z70">
        <v>0</v>
      </c>
      <c r="AA70">
        <v>448</v>
      </c>
      <c r="AB70">
        <v>47.33</v>
      </c>
      <c r="AC70" t="str">
        <f t="shared" si="5"/>
        <v>CBNCAC</v>
      </c>
      <c r="AD70" t="s">
        <v>3209</v>
      </c>
      <c r="AE70" t="str">
        <f t="shared" si="6"/>
        <v>CarbonicAcid</v>
      </c>
      <c r="AF70" t="s">
        <v>3214</v>
      </c>
      <c r="AG70" s="15" t="s">
        <v>2887</v>
      </c>
      <c r="AH70" s="4" t="s">
        <v>2884</v>
      </c>
      <c r="AI70" t="str">
        <f t="shared" si="7"/>
        <v>CSD,version,6.01,with,Feb,2026,update</v>
      </c>
      <c r="AJ70" t="str">
        <f t="shared" si="8"/>
        <v>C1,H2,O3</v>
      </c>
      <c r="AK70" t="s">
        <v>3127</v>
      </c>
      <c r="AL70">
        <v>1</v>
      </c>
      <c r="AM70">
        <v>1</v>
      </c>
      <c r="AN70" t="str">
        <f>IF(AM70&lt;&gt;"",CONCATENATE(AC70," &amp; \ce{",SUBSTITUTE(AJ70,","," "),"} &amp; ",SUBSTITUTE(AF70,"."," ")," &amp; ",AL70," &amp; ",AM70," \\"),"")</f>
        <v>CBNCAC &amp; \ce{C1 H2 O3} &amp; Carbonic Acid &amp; 1 &amp; 1 \\</v>
      </c>
    </row>
    <row r="71" spans="1:40" x14ac:dyDescent="0.2">
      <c r="A71" t="s">
        <v>143</v>
      </c>
      <c r="B71" t="s">
        <v>144</v>
      </c>
      <c r="C71">
        <v>0</v>
      </c>
      <c r="D71" t="s">
        <v>145</v>
      </c>
      <c r="E71" t="s">
        <v>146</v>
      </c>
      <c r="F71" t="s">
        <v>147</v>
      </c>
      <c r="G71" t="s">
        <v>2425</v>
      </c>
      <c r="H71" t="s">
        <v>830</v>
      </c>
      <c r="I71" t="s">
        <v>2385</v>
      </c>
      <c r="J71" t="s">
        <v>1210</v>
      </c>
      <c r="K71" t="s">
        <v>898</v>
      </c>
      <c r="L71" t="s">
        <v>1553</v>
      </c>
      <c r="M71" t="s">
        <v>876</v>
      </c>
      <c r="N71">
        <v>2010</v>
      </c>
      <c r="O71" t="s">
        <v>830</v>
      </c>
      <c r="P71" t="s">
        <v>891</v>
      </c>
      <c r="Q71" t="s">
        <v>830</v>
      </c>
      <c r="T71" t="s">
        <v>830</v>
      </c>
      <c r="U71" t="s">
        <v>830</v>
      </c>
      <c r="W71" t="s">
        <v>2420</v>
      </c>
      <c r="X71" t="s">
        <v>3232</v>
      </c>
      <c r="Y71" t="s">
        <v>830</v>
      </c>
      <c r="Z71">
        <v>1</v>
      </c>
      <c r="AA71">
        <v>770</v>
      </c>
      <c r="AB71">
        <v>25.22</v>
      </c>
      <c r="AC71" t="str">
        <f t="shared" si="5"/>
        <v>CEBGOF</v>
      </c>
      <c r="AD71" t="s">
        <v>3222</v>
      </c>
      <c r="AE71" t="str">
        <f t="shared" si="6"/>
        <v>Methyl-p-hydroxybenzoate</v>
      </c>
      <c r="AF71" t="str">
        <f>AE71</f>
        <v>Methyl-p-hydroxybenzoate</v>
      </c>
      <c r="AG71" s="15" t="s">
        <v>2889</v>
      </c>
      <c r="AH71" s="4" t="s">
        <v>2888</v>
      </c>
      <c r="AI71" t="str">
        <f t="shared" si="7"/>
        <v>CSD,version,6.01,with,Feb,2026,update</v>
      </c>
      <c r="AJ71" t="str">
        <f t="shared" si="8"/>
        <v>C8,H8,O3</v>
      </c>
      <c r="AL71">
        <v>1</v>
      </c>
      <c r="AM71">
        <v>2</v>
      </c>
      <c r="AN71" t="str">
        <f>IF(AM71&lt;&gt;"",CONCATENATE(AC71," &amp; \ce{",SUBSTITUTE(AJ71,","," "),"} &amp; ",SUBSTITUTE(AF71,"."," ")," &amp; ",AL71," &amp; ",AM71," \\"),"")</f>
        <v>CEBGOF &amp; \ce{C8 H8 O3} &amp; Methyl-p-hydroxybenzoate &amp; 1 &amp; 2 \\</v>
      </c>
    </row>
    <row r="72" spans="1:40" x14ac:dyDescent="0.2">
      <c r="A72" t="s">
        <v>143</v>
      </c>
      <c r="B72" t="s">
        <v>144</v>
      </c>
      <c r="C72">
        <v>10</v>
      </c>
      <c r="D72" t="s">
        <v>145</v>
      </c>
      <c r="E72" t="s">
        <v>146</v>
      </c>
      <c r="F72" t="s">
        <v>147</v>
      </c>
      <c r="G72" t="s">
        <v>2425</v>
      </c>
      <c r="H72" t="s">
        <v>830</v>
      </c>
      <c r="I72" t="s">
        <v>2385</v>
      </c>
      <c r="J72" t="s">
        <v>1211</v>
      </c>
      <c r="K72" t="s">
        <v>898</v>
      </c>
      <c r="L72" t="s">
        <v>1663</v>
      </c>
      <c r="M72" t="s">
        <v>876</v>
      </c>
      <c r="N72">
        <v>2010</v>
      </c>
      <c r="O72" t="s">
        <v>830</v>
      </c>
      <c r="P72" t="s">
        <v>2427</v>
      </c>
      <c r="Q72" t="s">
        <v>830</v>
      </c>
      <c r="T72" t="s">
        <v>830</v>
      </c>
      <c r="U72" t="s">
        <v>830</v>
      </c>
      <c r="W72" t="s">
        <v>2420</v>
      </c>
      <c r="X72" t="s">
        <v>2426</v>
      </c>
      <c r="Y72" t="s">
        <v>830</v>
      </c>
      <c r="Z72">
        <v>1</v>
      </c>
      <c r="AA72">
        <v>24</v>
      </c>
      <c r="AB72">
        <v>6.5640000000000001</v>
      </c>
      <c r="AC72" t="str">
        <f t="shared" si="5"/>
        <v/>
      </c>
      <c r="AE72" t="str">
        <f t="shared" si="6"/>
        <v/>
      </c>
      <c r="AI72" t="str">
        <f t="shared" si="7"/>
        <v/>
      </c>
      <c r="AJ72" t="str">
        <f t="shared" si="8"/>
        <v/>
      </c>
      <c r="AN72" t="str">
        <f>IF(AM72&lt;&gt;"",CONCATENATE(AC72," &amp; ",SUBSTITUTE(AJ72,","," ")," &amp; ",SUBSTITUTE(AF72,"."," ")," &amp; ",AL72," &amp; ",AM72," \\"),"")</f>
        <v/>
      </c>
    </row>
    <row r="73" spans="1:40" s="8" customFormat="1" x14ac:dyDescent="0.2">
      <c r="A73" s="8" t="s">
        <v>143</v>
      </c>
      <c r="B73" s="8" t="s">
        <v>144</v>
      </c>
      <c r="C73" s="8">
        <v>11</v>
      </c>
      <c r="D73" s="8" t="s">
        <v>145</v>
      </c>
      <c r="E73" s="8" t="s">
        <v>146</v>
      </c>
      <c r="F73" s="8" t="s">
        <v>147</v>
      </c>
      <c r="G73" s="8" t="s">
        <v>148</v>
      </c>
      <c r="H73" t="s">
        <v>2389</v>
      </c>
      <c r="I73"/>
      <c r="J73"/>
      <c r="K73" t="s">
        <v>898</v>
      </c>
      <c r="L73"/>
      <c r="M73"/>
      <c r="N73">
        <v>2010</v>
      </c>
      <c r="O73"/>
      <c r="P73"/>
      <c r="Q73"/>
      <c r="R73"/>
      <c r="S73"/>
      <c r="T73" t="s">
        <v>1598</v>
      </c>
      <c r="U73"/>
      <c r="V73"/>
      <c r="W73" t="s">
        <v>2343</v>
      </c>
      <c r="X73"/>
      <c r="Y73"/>
      <c r="Z73"/>
      <c r="AA73" s="8">
        <v>23</v>
      </c>
      <c r="AB73" s="8">
        <v>7.0979999999999999</v>
      </c>
      <c r="AC73" t="str">
        <f t="shared" si="5"/>
        <v/>
      </c>
      <c r="AD73"/>
      <c r="AE73" t="str">
        <f t="shared" si="6"/>
        <v/>
      </c>
      <c r="AF73"/>
      <c r="AG73" s="15"/>
      <c r="AH73"/>
      <c r="AI73" t="str">
        <f t="shared" si="7"/>
        <v/>
      </c>
      <c r="AJ73" t="str">
        <f t="shared" si="8"/>
        <v/>
      </c>
      <c r="AN73" t="str">
        <f>IF(AM73&lt;&gt;"",CONCATENATE(AC73," &amp; ",SUBSTITUTE(AJ73,","," ")," &amp; ",SUBSTITUTE(AF73,"."," ")," &amp; ",AL73," &amp; ",AM73," \\"),"")</f>
        <v/>
      </c>
    </row>
    <row r="74" spans="1:40" x14ac:dyDescent="0.2">
      <c r="A74" t="s">
        <v>149</v>
      </c>
      <c r="B74" t="s">
        <v>150</v>
      </c>
      <c r="C74">
        <v>0</v>
      </c>
      <c r="D74" t="s">
        <v>151</v>
      </c>
      <c r="E74" t="s">
        <v>152</v>
      </c>
      <c r="F74" t="s">
        <v>8</v>
      </c>
      <c r="G74" t="s">
        <v>2674</v>
      </c>
      <c r="H74" t="s">
        <v>830</v>
      </c>
      <c r="I74" t="s">
        <v>2385</v>
      </c>
      <c r="J74" t="s">
        <v>1119</v>
      </c>
      <c r="K74" t="s">
        <v>838</v>
      </c>
      <c r="L74" t="s">
        <v>1558</v>
      </c>
      <c r="M74" t="s">
        <v>876</v>
      </c>
      <c r="N74">
        <v>2004</v>
      </c>
      <c r="O74" t="s">
        <v>830</v>
      </c>
      <c r="P74" t="s">
        <v>2673</v>
      </c>
      <c r="Q74" t="s">
        <v>830</v>
      </c>
      <c r="T74" t="s">
        <v>830</v>
      </c>
      <c r="U74" t="s">
        <v>830</v>
      </c>
      <c r="W74" t="s">
        <v>2653</v>
      </c>
      <c r="X74" t="s">
        <v>2675</v>
      </c>
      <c r="Y74" t="s">
        <v>830</v>
      </c>
      <c r="Z74">
        <v>1</v>
      </c>
      <c r="AA74">
        <v>30</v>
      </c>
      <c r="AB74">
        <v>7.18</v>
      </c>
      <c r="AC74" t="str">
        <f t="shared" si="5"/>
        <v>CEWVOP</v>
      </c>
      <c r="AD74" t="s">
        <v>3216</v>
      </c>
      <c r="AE74" t="str">
        <f t="shared" si="6"/>
        <v>6methyluracil</v>
      </c>
      <c r="AF74" t="s">
        <v>3215</v>
      </c>
      <c r="AG74" s="15" t="s">
        <v>3132</v>
      </c>
      <c r="AH74" s="4" t="s">
        <v>2884</v>
      </c>
      <c r="AI74" t="str">
        <f t="shared" si="7"/>
        <v>CSD,version,6.01,with,Feb,2026,update</v>
      </c>
      <c r="AJ74" t="str">
        <f t="shared" si="8"/>
        <v>C5,H6,N2,O2</v>
      </c>
      <c r="AL74">
        <v>1</v>
      </c>
      <c r="AM74">
        <v>1</v>
      </c>
      <c r="AN74" t="str">
        <f>IF(AM74&lt;&gt;"",CONCATENATE(AC74," &amp; \ce{",SUBSTITUTE(AJ74,","," "),"} &amp; ",SUBSTITUTE(AF74,"."," ")," &amp; ",AL74," &amp; ",AM74," \\"),"")</f>
        <v>CEWVOP &amp; \ce{C5 H6 N2 O2} &amp; 6-Methyluracil &amp; 1 &amp; 1 \\</v>
      </c>
    </row>
    <row r="75" spans="1:40" x14ac:dyDescent="0.2">
      <c r="A75" t="s">
        <v>153</v>
      </c>
      <c r="B75" t="s">
        <v>154</v>
      </c>
      <c r="C75">
        <v>0</v>
      </c>
      <c r="D75" t="s">
        <v>8</v>
      </c>
      <c r="E75" t="s">
        <v>155</v>
      </c>
      <c r="F75" t="s">
        <v>8</v>
      </c>
      <c r="G75" t="s">
        <v>2771</v>
      </c>
      <c r="H75" s="4" t="s">
        <v>830</v>
      </c>
      <c r="I75" t="s">
        <v>2385</v>
      </c>
      <c r="J75" t="s">
        <v>1238</v>
      </c>
      <c r="K75" t="s">
        <v>2524</v>
      </c>
      <c r="L75" t="s">
        <v>1553</v>
      </c>
      <c r="M75" t="s">
        <v>876</v>
      </c>
      <c r="N75" t="s">
        <v>1876</v>
      </c>
      <c r="O75" t="s">
        <v>830</v>
      </c>
      <c r="P75" t="s">
        <v>2788</v>
      </c>
      <c r="Q75" t="s">
        <v>830</v>
      </c>
      <c r="T75" t="s">
        <v>830</v>
      </c>
      <c r="U75" t="s">
        <v>830</v>
      </c>
      <c r="W75" t="s">
        <v>2836</v>
      </c>
      <c r="X75" s="4" t="s">
        <v>2791</v>
      </c>
      <c r="Y75" t="s">
        <v>830</v>
      </c>
      <c r="Z75">
        <v>1</v>
      </c>
      <c r="AA75">
        <v>156</v>
      </c>
      <c r="AB75">
        <v>23.881</v>
      </c>
      <c r="AC75" t="str">
        <f t="shared" si="5"/>
        <v>CIVTUW</v>
      </c>
      <c r="AD75" t="s">
        <v>3210</v>
      </c>
      <c r="AE75" t="str">
        <f t="shared" si="6"/>
        <v>Trinitrodibenzopyranone</v>
      </c>
      <c r="AF75" t="str">
        <f>AE75</f>
        <v>Trinitrodibenzopyranone</v>
      </c>
      <c r="AG75" s="15" t="s">
        <v>2887</v>
      </c>
      <c r="AH75" s="4" t="s">
        <v>2884</v>
      </c>
      <c r="AI75" t="str">
        <f t="shared" si="7"/>
        <v>CSD,version,6.01,with,Feb,2026,update</v>
      </c>
      <c r="AJ75" t="str">
        <f t="shared" si="8"/>
        <v>C13,H5,N3,O8</v>
      </c>
      <c r="AL75">
        <v>1</v>
      </c>
      <c r="AM75">
        <v>1</v>
      </c>
      <c r="AN75" t="str">
        <f>IF(AM75&lt;&gt;"",CONCATENATE(AC75," &amp; \ce{",SUBSTITUTE(AJ75,","," "),"} &amp; ",SUBSTITUTE(AF75,"."," ")," &amp; ",AL75," &amp; ",AM75," \\"),"")</f>
        <v>CIVTUW &amp; \ce{C13 H5 N3 O8} &amp; Trinitrodibenzopyranone &amp; 1 &amp; 1 \\</v>
      </c>
    </row>
    <row r="76" spans="1:40" x14ac:dyDescent="0.2">
      <c r="A76" t="s">
        <v>156</v>
      </c>
      <c r="B76" t="s">
        <v>157</v>
      </c>
      <c r="C76">
        <v>0</v>
      </c>
      <c r="D76" t="s">
        <v>158</v>
      </c>
      <c r="E76" t="s">
        <v>159</v>
      </c>
      <c r="G76" t="s">
        <v>2657</v>
      </c>
      <c r="H76" t="s">
        <v>830</v>
      </c>
      <c r="I76" t="s">
        <v>2385</v>
      </c>
      <c r="J76" t="s">
        <v>1179</v>
      </c>
      <c r="K76" t="s">
        <v>859</v>
      </c>
      <c r="L76" t="s">
        <v>1558</v>
      </c>
      <c r="M76" t="s">
        <v>858</v>
      </c>
      <c r="N76">
        <v>2004</v>
      </c>
      <c r="O76" t="s">
        <v>830</v>
      </c>
      <c r="P76" t="s">
        <v>2658</v>
      </c>
      <c r="Q76" t="s">
        <v>830</v>
      </c>
      <c r="T76" t="s">
        <v>830</v>
      </c>
      <c r="U76" t="s">
        <v>830</v>
      </c>
      <c r="W76" t="s">
        <v>2653</v>
      </c>
      <c r="X76" t="s">
        <v>2659</v>
      </c>
      <c r="Y76" t="s">
        <v>830</v>
      </c>
      <c r="Z76">
        <v>1</v>
      </c>
      <c r="AA76">
        <v>49</v>
      </c>
      <c r="AB76">
        <v>10</v>
      </c>
      <c r="AC76" t="str">
        <f t="shared" si="5"/>
        <v>CIWMAW</v>
      </c>
      <c r="AD76" t="s">
        <v>3211</v>
      </c>
      <c r="AE76" t="str">
        <f t="shared" si="6"/>
        <v>DiaminoDinitroPyrazine</v>
      </c>
      <c r="AF76" t="s">
        <v>3456</v>
      </c>
      <c r="AG76" s="15" t="s">
        <v>3132</v>
      </c>
      <c r="AH76" s="4" t="s">
        <v>2884</v>
      </c>
      <c r="AI76" t="str">
        <f t="shared" si="7"/>
        <v>CSD,version,6.01,with,Feb,2026,update</v>
      </c>
      <c r="AJ76" t="str">
        <f t="shared" si="8"/>
        <v>C4,H4,N6,O4</v>
      </c>
      <c r="AL76">
        <v>1</v>
      </c>
      <c r="AM76">
        <v>1</v>
      </c>
      <c r="AN76" t="str">
        <f>IF(AM76&lt;&gt;"",CONCATENATE(AC76," &amp; \ce{",SUBSTITUTE(AJ76,","," "),"} &amp; ",SUBSTITUTE(AF76,"."," ")," &amp; ",AL76," &amp; ",AM76," \\"),"")</f>
        <v>CIWMAW &amp; \ce{C4 H4 N6 O4} &amp; 2,6-Diamino-3,5-Dinitro Pyrazine &amp; 1 &amp; 1 \\</v>
      </c>
    </row>
    <row r="77" spans="1:40" x14ac:dyDescent="0.2">
      <c r="A77" t="s">
        <v>160</v>
      </c>
      <c r="B77" t="s">
        <v>161</v>
      </c>
      <c r="C77">
        <v>0</v>
      </c>
      <c r="D77" t="s">
        <v>162</v>
      </c>
      <c r="E77" t="s">
        <v>162</v>
      </c>
      <c r="F77" t="s">
        <v>163</v>
      </c>
      <c r="G77" t="s">
        <v>2772</v>
      </c>
      <c r="H77" s="4" t="s">
        <v>830</v>
      </c>
      <c r="I77" t="s">
        <v>2385</v>
      </c>
      <c r="J77" t="s">
        <v>1163</v>
      </c>
      <c r="K77" t="s">
        <v>913</v>
      </c>
      <c r="L77" t="s">
        <v>1553</v>
      </c>
      <c r="M77" t="s">
        <v>2793</v>
      </c>
      <c r="N77" t="s">
        <v>1876</v>
      </c>
      <c r="O77" t="s">
        <v>830</v>
      </c>
      <c r="P77" t="s">
        <v>2789</v>
      </c>
      <c r="Q77" t="s">
        <v>830</v>
      </c>
      <c r="T77" t="s">
        <v>830</v>
      </c>
      <c r="U77" t="s">
        <v>830</v>
      </c>
      <c r="W77" t="s">
        <v>2836</v>
      </c>
      <c r="X77" s="4" t="s">
        <v>2792</v>
      </c>
      <c r="Y77" s="4" t="s">
        <v>830</v>
      </c>
      <c r="Z77">
        <v>1</v>
      </c>
      <c r="AA77">
        <v>668</v>
      </c>
      <c r="AB77">
        <v>27</v>
      </c>
      <c r="AC77" t="str">
        <f t="shared" si="5"/>
        <v>CLBZAC</v>
      </c>
      <c r="AD77" t="s">
        <v>3212</v>
      </c>
      <c r="AE77" t="str">
        <f t="shared" si="6"/>
        <v>ChlorobenzoicAcid</v>
      </c>
      <c r="AF77" t="s">
        <v>3221</v>
      </c>
      <c r="AG77" s="15" t="s">
        <v>2887</v>
      </c>
      <c r="AH77" s="4" t="s">
        <v>2884</v>
      </c>
      <c r="AI77" t="str">
        <f t="shared" si="7"/>
        <v>CSD,version,6.01,with,Feb,2026,update</v>
      </c>
      <c r="AJ77" t="str">
        <f t="shared" si="8"/>
        <v>C7,H5,O2,Cl1</v>
      </c>
      <c r="AL77">
        <v>1</v>
      </c>
      <c r="AM77">
        <v>1</v>
      </c>
      <c r="AN77" t="str">
        <f>IF(AM77&lt;&gt;"",CONCATENATE(AC77," &amp; \ce{",SUBSTITUTE(AJ77,","," "),"} &amp; ",SUBSTITUTE(AF77,"."," ")," &amp; ",AL77," &amp; ",AM77," \\"),"")</f>
        <v>CLBZAC &amp; \ce{C7 H5 O2 Cl1} &amp; 2-Chlorobenzoic Acid &amp; 1 &amp; 1 \\</v>
      </c>
    </row>
    <row r="78" spans="1:40" x14ac:dyDescent="0.2">
      <c r="A78" t="s">
        <v>164</v>
      </c>
      <c r="B78" t="s">
        <v>165</v>
      </c>
      <c r="C78">
        <v>0</v>
      </c>
      <c r="D78" t="s">
        <v>166</v>
      </c>
      <c r="E78" t="s">
        <v>166</v>
      </c>
      <c r="F78" t="s">
        <v>166</v>
      </c>
      <c r="G78" s="4" t="s">
        <v>2021</v>
      </c>
      <c r="H78" t="s">
        <v>830</v>
      </c>
      <c r="I78" t="s">
        <v>1952</v>
      </c>
      <c r="J78" t="s">
        <v>1096</v>
      </c>
      <c r="K78" t="s">
        <v>843</v>
      </c>
      <c r="L78" t="s">
        <v>1553</v>
      </c>
      <c r="M78" t="s">
        <v>909</v>
      </c>
      <c r="N78" t="s">
        <v>1876</v>
      </c>
      <c r="O78" t="s">
        <v>830</v>
      </c>
      <c r="P78" t="s">
        <v>2586</v>
      </c>
      <c r="Q78" t="s">
        <v>830</v>
      </c>
      <c r="T78" t="s">
        <v>830</v>
      </c>
      <c r="U78" t="s">
        <v>830</v>
      </c>
      <c r="W78" t="s">
        <v>2034</v>
      </c>
      <c r="X78" t="s">
        <v>2024</v>
      </c>
      <c r="Y78" t="s">
        <v>830</v>
      </c>
      <c r="Z78">
        <v>1</v>
      </c>
      <c r="AA78">
        <v>634</v>
      </c>
      <c r="AB78">
        <v>15</v>
      </c>
      <c r="AC78" t="str">
        <f t="shared" si="5"/>
        <v>CLBZAM</v>
      </c>
      <c r="AD78" t="s">
        <v>2910</v>
      </c>
      <c r="AE78" t="str">
        <f t="shared" si="6"/>
        <v>2chlorobenzamide</v>
      </c>
      <c r="AF78" t="s">
        <v>2936</v>
      </c>
      <c r="AG78" s="15" t="s">
        <v>2885</v>
      </c>
      <c r="AH78" t="s">
        <v>2898</v>
      </c>
      <c r="AI78" t="str">
        <f t="shared" si="7"/>
        <v>CSD,version,6.01</v>
      </c>
      <c r="AJ78" t="str">
        <f t="shared" si="8"/>
        <v>C7,H6,N1,O1,Cl1</v>
      </c>
      <c r="AL78">
        <v>3</v>
      </c>
      <c r="AM78">
        <v>3</v>
      </c>
      <c r="AN78" t="str">
        <f>IF(AM78&lt;&gt;"",CONCATENATE(AC78," &amp; \ce{",SUBSTITUTE(AJ78,","," "),"} &amp; ",SUBSTITUTE(AF78,"."," ")," &amp; ",AL78," &amp; ",AM78," \\"),"")</f>
        <v>CLBZAM &amp; \ce{C7 H6 N1 O1 Cl1} &amp; 2-chlorobenzamide &amp; 3 &amp; 3 \\</v>
      </c>
    </row>
    <row r="79" spans="1:40" x14ac:dyDescent="0.2">
      <c r="A79" t="s">
        <v>164</v>
      </c>
      <c r="B79" t="s">
        <v>165</v>
      </c>
      <c r="C79">
        <v>2</v>
      </c>
      <c r="D79" t="s">
        <v>167</v>
      </c>
      <c r="E79" t="s">
        <v>166</v>
      </c>
      <c r="F79" t="s">
        <v>166</v>
      </c>
      <c r="G79" s="4" t="s">
        <v>2021</v>
      </c>
      <c r="H79" t="s">
        <v>830</v>
      </c>
      <c r="I79" t="s">
        <v>1952</v>
      </c>
      <c r="J79" t="s">
        <v>1097</v>
      </c>
      <c r="K79" t="s">
        <v>906</v>
      </c>
      <c r="L79" t="s">
        <v>2022</v>
      </c>
      <c r="M79" t="s">
        <v>923</v>
      </c>
      <c r="N79" t="s">
        <v>1876</v>
      </c>
      <c r="O79" t="s">
        <v>830</v>
      </c>
      <c r="P79" t="s">
        <v>2586</v>
      </c>
      <c r="Q79" t="s">
        <v>830</v>
      </c>
      <c r="T79" t="s">
        <v>830</v>
      </c>
      <c r="U79" t="s">
        <v>830</v>
      </c>
      <c r="W79" t="s">
        <v>2034</v>
      </c>
      <c r="X79" t="s">
        <v>2026</v>
      </c>
      <c r="Y79" t="s">
        <v>830</v>
      </c>
      <c r="Z79">
        <v>1</v>
      </c>
      <c r="AA79">
        <v>1055</v>
      </c>
      <c r="AB79">
        <v>15.157999999999999</v>
      </c>
      <c r="AC79" t="str">
        <f t="shared" si="5"/>
        <v/>
      </c>
      <c r="AE79" t="str">
        <f t="shared" si="6"/>
        <v/>
      </c>
      <c r="AI79" t="str">
        <f t="shared" si="7"/>
        <v/>
      </c>
      <c r="AJ79" t="str">
        <f t="shared" si="8"/>
        <v/>
      </c>
      <c r="AN79" t="str">
        <f>IF(AM79&lt;&gt;"",CONCATENATE(AC79," &amp; ",SUBSTITUTE(AJ79,","," ")," &amp; ",SUBSTITUTE(AF79,"."," ")," &amp; ",AL79," &amp; ",AM79," \\"),"")</f>
        <v/>
      </c>
    </row>
    <row r="80" spans="1:40" x14ac:dyDescent="0.2">
      <c r="A80" t="s">
        <v>164</v>
      </c>
      <c r="B80" t="s">
        <v>165</v>
      </c>
      <c r="C80">
        <v>10</v>
      </c>
      <c r="D80" t="s">
        <v>166</v>
      </c>
      <c r="E80" t="s">
        <v>166</v>
      </c>
      <c r="F80" t="s">
        <v>166</v>
      </c>
      <c r="G80" s="4" t="s">
        <v>2021</v>
      </c>
      <c r="H80" t="s">
        <v>830</v>
      </c>
      <c r="I80" t="s">
        <v>1952</v>
      </c>
      <c r="J80" t="s">
        <v>1243</v>
      </c>
      <c r="K80" t="s">
        <v>839</v>
      </c>
      <c r="L80" t="s">
        <v>1912</v>
      </c>
      <c r="M80" t="s">
        <v>907</v>
      </c>
      <c r="N80">
        <v>2011</v>
      </c>
      <c r="O80" t="s">
        <v>830</v>
      </c>
      <c r="P80" t="s">
        <v>2586</v>
      </c>
      <c r="Q80" t="s">
        <v>830</v>
      </c>
      <c r="T80" t="s">
        <v>830</v>
      </c>
      <c r="U80" t="s">
        <v>830</v>
      </c>
      <c r="W80" t="s">
        <v>2034</v>
      </c>
      <c r="X80" t="s">
        <v>2025</v>
      </c>
      <c r="Y80" t="s">
        <v>830</v>
      </c>
      <c r="Z80">
        <v>2</v>
      </c>
      <c r="AA80">
        <v>2042</v>
      </c>
      <c r="AB80">
        <v>56.884</v>
      </c>
      <c r="AC80" t="str">
        <f t="shared" si="5"/>
        <v/>
      </c>
      <c r="AE80" t="str">
        <f t="shared" si="6"/>
        <v/>
      </c>
      <c r="AI80" t="str">
        <f t="shared" si="7"/>
        <v/>
      </c>
      <c r="AJ80" t="str">
        <f t="shared" si="8"/>
        <v/>
      </c>
      <c r="AN80" t="str">
        <f>IF(AM80&lt;&gt;"",CONCATENATE(AC80," &amp; ",SUBSTITUTE(AJ80,","," ")," &amp; ",SUBSTITUTE(AF80,"."," ")," &amp; ",AL80," &amp; ",AM80," \\"),"")</f>
        <v/>
      </c>
    </row>
    <row r="81" spans="1:40" x14ac:dyDescent="0.2">
      <c r="A81" t="s">
        <v>168</v>
      </c>
      <c r="B81" t="s">
        <v>169</v>
      </c>
      <c r="C81">
        <v>1</v>
      </c>
      <c r="D81" t="s">
        <v>170</v>
      </c>
      <c r="E81" t="s">
        <v>171</v>
      </c>
      <c r="F81" t="s">
        <v>8</v>
      </c>
      <c r="G81" t="s">
        <v>2537</v>
      </c>
      <c r="H81" t="s">
        <v>830</v>
      </c>
      <c r="I81" t="s">
        <v>2385</v>
      </c>
      <c r="J81" t="s">
        <v>1166</v>
      </c>
      <c r="K81" t="s">
        <v>2524</v>
      </c>
      <c r="L81" t="s">
        <v>1855</v>
      </c>
      <c r="M81" t="s">
        <v>876</v>
      </c>
      <c r="N81" t="s">
        <v>1876</v>
      </c>
      <c r="O81" t="s">
        <v>830</v>
      </c>
      <c r="P81" t="s">
        <v>883</v>
      </c>
      <c r="Q81" t="s">
        <v>830</v>
      </c>
      <c r="T81" t="s">
        <v>830</v>
      </c>
      <c r="U81" t="s">
        <v>830</v>
      </c>
      <c r="W81" t="s">
        <v>2526</v>
      </c>
      <c r="X81" t="s">
        <v>2539</v>
      </c>
      <c r="Y81" t="s">
        <v>830</v>
      </c>
      <c r="Z81">
        <v>2</v>
      </c>
      <c r="AA81">
        <v>498</v>
      </c>
      <c r="AB81">
        <v>12.51</v>
      </c>
      <c r="AC81" t="str">
        <f t="shared" si="5"/>
        <v>CLFORM</v>
      </c>
      <c r="AD81" t="s">
        <v>3213</v>
      </c>
      <c r="AE81" t="str">
        <f t="shared" si="6"/>
        <v>Chloroform</v>
      </c>
      <c r="AF81" t="str">
        <f>AE81</f>
        <v>Chloroform</v>
      </c>
      <c r="AG81" s="15" t="s">
        <v>2889</v>
      </c>
      <c r="AH81" t="s">
        <v>2884</v>
      </c>
      <c r="AI81" t="str">
        <f t="shared" si="7"/>
        <v>CSD,version,6.01,with,Feb,2026,update</v>
      </c>
      <c r="AJ81" t="str">
        <f t="shared" si="8"/>
        <v>C1,H1,Cl3</v>
      </c>
      <c r="AL81">
        <v>2</v>
      </c>
      <c r="AM81">
        <v>1</v>
      </c>
      <c r="AN81" t="str">
        <f>IF(AM81&lt;&gt;"",CONCATENATE(AC81," &amp; \ce{",SUBSTITUTE(AJ81,","," "),"} &amp; ",SUBSTITUTE(AF81,"."," ")," &amp; ",AL81," &amp; ",AM81," \\"),"")</f>
        <v>CLFORM &amp; \ce{C1 H1 Cl3} &amp; Chloroform &amp; 2 &amp; 1 \\</v>
      </c>
    </row>
    <row r="82" spans="1:40" x14ac:dyDescent="0.2">
      <c r="A82" t="s">
        <v>168</v>
      </c>
      <c r="B82" t="s">
        <v>169</v>
      </c>
      <c r="C82">
        <v>2</v>
      </c>
      <c r="D82" t="s">
        <v>170</v>
      </c>
      <c r="E82" t="s">
        <v>171</v>
      </c>
      <c r="F82" t="s">
        <v>8</v>
      </c>
      <c r="G82" t="s">
        <v>2537</v>
      </c>
      <c r="H82" t="s">
        <v>830</v>
      </c>
      <c r="I82" t="s">
        <v>2385</v>
      </c>
      <c r="J82" t="s">
        <v>1165</v>
      </c>
      <c r="K82" t="s">
        <v>2524</v>
      </c>
      <c r="L82" t="s">
        <v>1855</v>
      </c>
      <c r="M82" t="s">
        <v>876</v>
      </c>
      <c r="N82" t="s">
        <v>1876</v>
      </c>
      <c r="O82" t="s">
        <v>830</v>
      </c>
      <c r="P82" t="s">
        <v>2538</v>
      </c>
      <c r="Q82" t="s">
        <v>830</v>
      </c>
      <c r="T82" t="s">
        <v>830</v>
      </c>
      <c r="U82" t="s">
        <v>830</v>
      </c>
      <c r="W82" t="s">
        <v>2526</v>
      </c>
      <c r="X82" t="s">
        <v>2540</v>
      </c>
      <c r="Y82" t="s">
        <v>830</v>
      </c>
      <c r="Z82">
        <v>2</v>
      </c>
      <c r="AA82">
        <v>204</v>
      </c>
      <c r="AB82">
        <v>8.61</v>
      </c>
      <c r="AC82" t="str">
        <f t="shared" si="5"/>
        <v/>
      </c>
      <c r="AE82" t="str">
        <f t="shared" si="6"/>
        <v/>
      </c>
      <c r="AI82" t="str">
        <f t="shared" si="7"/>
        <v/>
      </c>
      <c r="AJ82" t="str">
        <f t="shared" si="8"/>
        <v/>
      </c>
      <c r="AN82" t="str">
        <f>IF(AM82&lt;&gt;"",CONCATENATE(AC82," &amp; ",SUBSTITUTE(AJ82,","," ")," &amp; ",SUBSTITUTE(AF82,"."," ")," &amp; ",AL82," &amp; ",AM82," \\"),"")</f>
        <v/>
      </c>
    </row>
    <row r="83" spans="1:40" x14ac:dyDescent="0.2">
      <c r="A83" s="8" t="s">
        <v>168</v>
      </c>
      <c r="B83" s="8" t="s">
        <v>169</v>
      </c>
      <c r="C83" s="8">
        <v>0</v>
      </c>
      <c r="D83" s="8" t="s">
        <v>170</v>
      </c>
      <c r="E83" s="8" t="s">
        <v>171</v>
      </c>
      <c r="F83" s="8" t="s">
        <v>8</v>
      </c>
      <c r="G83" s="8" t="s">
        <v>168</v>
      </c>
      <c r="H83" s="8" t="s">
        <v>2525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 t="s">
        <v>1598</v>
      </c>
      <c r="U83" s="8"/>
      <c r="V83" s="8"/>
      <c r="W83" s="8" t="s">
        <v>2526</v>
      </c>
      <c r="X83" s="8"/>
      <c r="Y83" s="8"/>
      <c r="Z83" s="8"/>
      <c r="AA83" s="8">
        <v>381</v>
      </c>
      <c r="AB83" s="8">
        <v>13.89</v>
      </c>
      <c r="AC83" t="str">
        <f t="shared" si="5"/>
        <v/>
      </c>
      <c r="AE83" t="str">
        <f t="shared" si="6"/>
        <v/>
      </c>
      <c r="AI83" t="str">
        <f t="shared" si="7"/>
        <v/>
      </c>
      <c r="AJ83" t="str">
        <f t="shared" si="8"/>
        <v/>
      </c>
      <c r="AN83" t="str">
        <f>IF(AM83&lt;&gt;"",CONCATENATE(AC83," &amp; ",SUBSTITUTE(AJ83,","," ")," &amp; ",SUBSTITUTE(AF83,"."," ")," &amp; ",AL83," &amp; ",AM83," \\"),"")</f>
        <v/>
      </c>
    </row>
    <row r="84" spans="1:40" ht="15" x14ac:dyDescent="0.25">
      <c r="A84" t="s">
        <v>173</v>
      </c>
      <c r="B84" s="17" t="s">
        <v>3011</v>
      </c>
      <c r="C84">
        <v>10</v>
      </c>
      <c r="D84" t="s">
        <v>174</v>
      </c>
      <c r="E84" t="s">
        <v>174</v>
      </c>
      <c r="F84" t="s">
        <v>8</v>
      </c>
      <c r="G84" t="s">
        <v>8</v>
      </c>
      <c r="H84" t="s">
        <v>830</v>
      </c>
      <c r="I84" t="s">
        <v>2385</v>
      </c>
      <c r="J84" t="s">
        <v>1253</v>
      </c>
      <c r="K84" t="s">
        <v>848</v>
      </c>
      <c r="L84" t="s">
        <v>2322</v>
      </c>
      <c r="M84" t="s">
        <v>2324</v>
      </c>
      <c r="N84">
        <v>2018</v>
      </c>
      <c r="O84" t="s">
        <v>830</v>
      </c>
      <c r="P84" t="s">
        <v>2330</v>
      </c>
      <c r="Q84" t="s">
        <v>830</v>
      </c>
      <c r="T84" t="s">
        <v>830</v>
      </c>
      <c r="U84" t="s">
        <v>830</v>
      </c>
      <c r="W84" t="s">
        <v>2343</v>
      </c>
      <c r="X84" t="s">
        <v>2332</v>
      </c>
      <c r="Y84" t="s">
        <v>830</v>
      </c>
      <c r="Z84">
        <v>0</v>
      </c>
      <c r="AA84">
        <v>1302</v>
      </c>
      <c r="AB84">
        <v>33.512999999999998</v>
      </c>
      <c r="AC84" t="str">
        <f t="shared" si="5"/>
        <v>CLNBAM</v>
      </c>
      <c r="AD84" t="s">
        <v>3152</v>
      </c>
      <c r="AE84" t="str">
        <f t="shared" si="6"/>
        <v>2C5NBAMH</v>
      </c>
      <c r="AF84" t="s">
        <v>3162</v>
      </c>
      <c r="AG84" s="15" t="s">
        <v>2919</v>
      </c>
      <c r="AH84" t="s">
        <v>2884</v>
      </c>
      <c r="AI84" t="str">
        <f t="shared" si="7"/>
        <v>CSD,version,6.01,with,Feb,2026,update</v>
      </c>
      <c r="AJ84" t="str">
        <f t="shared" si="8"/>
        <v>C7,H4,N1,O4,Cl1,.,H2,O1</v>
      </c>
      <c r="AK84" t="s">
        <v>3127</v>
      </c>
      <c r="AL84">
        <v>1</v>
      </c>
      <c r="AM84">
        <v>1</v>
      </c>
      <c r="AN84" t="str">
        <f t="shared" ref="AN84:AN90" si="9">IF(AM84&lt;&gt;"",CONCATENATE(AC84," &amp; \ce{",SUBSTITUTE(AJ84,","," "),"} &amp; ",SUBSTITUTE(AF84,"."," ")," &amp; ",AL84," &amp; ",AM84," \\"),"")</f>
        <v>CLNBAM &amp; \ce{C7 H4 N1 O4 Cl1 . H2 O1} &amp; 2-Chloro-5-Nitrobenzoic Acid Monohydrate &amp; 1 &amp; 1 \\</v>
      </c>
    </row>
    <row r="85" spans="1:40" ht="15" x14ac:dyDescent="0.25">
      <c r="A85" t="s">
        <v>175</v>
      </c>
      <c r="B85" t="s">
        <v>2327</v>
      </c>
      <c r="C85">
        <v>10</v>
      </c>
      <c r="D85" t="s">
        <v>176</v>
      </c>
      <c r="E85" t="s">
        <v>176</v>
      </c>
      <c r="F85" t="s">
        <v>8</v>
      </c>
      <c r="G85" t="s">
        <v>175</v>
      </c>
      <c r="H85" t="s">
        <v>830</v>
      </c>
      <c r="I85" t="s">
        <v>2385</v>
      </c>
      <c r="J85" t="s">
        <v>1252</v>
      </c>
      <c r="K85" t="s">
        <v>848</v>
      </c>
      <c r="L85" t="s">
        <v>2322</v>
      </c>
      <c r="M85" t="s">
        <v>2324</v>
      </c>
      <c r="N85">
        <v>2018</v>
      </c>
      <c r="O85" t="s">
        <v>830</v>
      </c>
      <c r="P85" t="s">
        <v>2330</v>
      </c>
      <c r="Q85" t="s">
        <v>830</v>
      </c>
      <c r="T85" t="s">
        <v>830</v>
      </c>
      <c r="U85" t="s">
        <v>830</v>
      </c>
      <c r="W85" t="s">
        <v>2343</v>
      </c>
      <c r="X85" t="s">
        <v>2333</v>
      </c>
      <c r="Y85" t="s">
        <v>830</v>
      </c>
      <c r="Z85">
        <v>1</v>
      </c>
      <c r="AA85">
        <v>559</v>
      </c>
      <c r="AB85">
        <v>20</v>
      </c>
      <c r="AC85" t="str">
        <f t="shared" si="5"/>
        <v>CLNBZA</v>
      </c>
      <c r="AD85" t="s">
        <v>3151</v>
      </c>
      <c r="AE85" t="str">
        <f t="shared" si="6"/>
        <v>2C5NBA</v>
      </c>
      <c r="AF85" t="s">
        <v>3163</v>
      </c>
      <c r="AG85" s="15" t="s">
        <v>2919</v>
      </c>
      <c r="AH85" t="s">
        <v>2884</v>
      </c>
      <c r="AI85" t="str">
        <f t="shared" si="7"/>
        <v>CSD,version,6.01,with,Feb,2026,update</v>
      </c>
      <c r="AJ85" t="str">
        <f t="shared" si="8"/>
        <v>C7,H4,N1,O4,Cl1</v>
      </c>
      <c r="AL85">
        <v>1</v>
      </c>
      <c r="AM85">
        <v>1</v>
      </c>
      <c r="AN85" t="str">
        <f t="shared" si="9"/>
        <v>CLNBZA &amp; \ce{C7 H4 N1 O4 Cl1} &amp; 2-Chloro-5-Nitrobenzoic Acid &amp; 1 &amp; 1 \\</v>
      </c>
    </row>
    <row r="86" spans="1:40" ht="15" x14ac:dyDescent="0.25">
      <c r="A86" t="s">
        <v>177</v>
      </c>
      <c r="B86" t="s">
        <v>3011</v>
      </c>
      <c r="C86">
        <v>10</v>
      </c>
      <c r="D86" t="s">
        <v>178</v>
      </c>
      <c r="E86" t="s">
        <v>178</v>
      </c>
      <c r="F86" t="s">
        <v>8</v>
      </c>
      <c r="G86" t="s">
        <v>8</v>
      </c>
      <c r="H86" t="s">
        <v>830</v>
      </c>
      <c r="I86" t="s">
        <v>2385</v>
      </c>
      <c r="J86" t="s">
        <v>1259</v>
      </c>
      <c r="K86" t="s">
        <v>848</v>
      </c>
      <c r="L86" t="s">
        <v>2322</v>
      </c>
      <c r="M86" t="s">
        <v>2324</v>
      </c>
      <c r="N86">
        <v>2018</v>
      </c>
      <c r="O86" t="s">
        <v>830</v>
      </c>
      <c r="P86" t="s">
        <v>2330</v>
      </c>
      <c r="Q86" t="s">
        <v>830</v>
      </c>
      <c r="T86" t="s">
        <v>830</v>
      </c>
      <c r="U86" t="s">
        <v>830</v>
      </c>
      <c r="W86" t="s">
        <v>2343</v>
      </c>
      <c r="X86" t="s">
        <v>2336</v>
      </c>
      <c r="Y86" t="s">
        <v>830</v>
      </c>
      <c r="Z86">
        <v>0</v>
      </c>
      <c r="AA86">
        <v>1320</v>
      </c>
      <c r="AB86">
        <v>26.812999999999999</v>
      </c>
      <c r="AC86" t="str">
        <f t="shared" si="5"/>
        <v>CLNBZM</v>
      </c>
      <c r="AD86" t="s">
        <v>3153</v>
      </c>
      <c r="AE86" t="str">
        <f t="shared" si="6"/>
        <v>4C2NBAMH</v>
      </c>
      <c r="AF86" t="s">
        <v>3164</v>
      </c>
      <c r="AG86" s="15" t="s">
        <v>2919</v>
      </c>
      <c r="AH86" t="s">
        <v>2884</v>
      </c>
      <c r="AI86" t="str">
        <f t="shared" si="7"/>
        <v>CSD,version,6.01,with,Feb,2026,update</v>
      </c>
      <c r="AJ86" t="str">
        <f t="shared" si="8"/>
        <v>C7,H4,N1,O4,Cl1,.,H2,O1</v>
      </c>
      <c r="AK86" s="8" t="s">
        <v>3127</v>
      </c>
      <c r="AL86">
        <v>1</v>
      </c>
      <c r="AM86">
        <v>1</v>
      </c>
      <c r="AN86" t="str">
        <f t="shared" si="9"/>
        <v>CLNBZM &amp; \ce{C7 H4 N1 O4 Cl1 . H2 O1} &amp; 4-Chloro-2-Nitrobenzoic Acid Monohydrate &amp; 1 &amp; 1 \\</v>
      </c>
    </row>
    <row r="87" spans="1:40" s="8" customFormat="1" x14ac:dyDescent="0.2">
      <c r="A87" t="s">
        <v>179</v>
      </c>
      <c r="B87" t="s">
        <v>180</v>
      </c>
      <c r="C87">
        <v>0</v>
      </c>
      <c r="D87" t="s">
        <v>181</v>
      </c>
      <c r="E87" t="s">
        <v>182</v>
      </c>
      <c r="F87" t="s">
        <v>181</v>
      </c>
      <c r="G87" t="s">
        <v>2057</v>
      </c>
      <c r="H87" t="s">
        <v>830</v>
      </c>
      <c r="I87" t="s">
        <v>1952</v>
      </c>
      <c r="J87" t="s">
        <v>1168</v>
      </c>
      <c r="K87" t="s">
        <v>849</v>
      </c>
      <c r="L87" t="s">
        <v>1553</v>
      </c>
      <c r="M87" t="s">
        <v>2060</v>
      </c>
      <c r="N87" t="s">
        <v>886</v>
      </c>
      <c r="O87" t="s">
        <v>830</v>
      </c>
      <c r="P87" t="s">
        <v>2055</v>
      </c>
      <c r="Q87" t="s">
        <v>830</v>
      </c>
      <c r="R87"/>
      <c r="S87"/>
      <c r="T87" t="s">
        <v>830</v>
      </c>
      <c r="U87" t="s">
        <v>830</v>
      </c>
      <c r="V87"/>
      <c r="W87" t="s">
        <v>2034</v>
      </c>
      <c r="X87" t="s">
        <v>2064</v>
      </c>
      <c r="Y87" t="s">
        <v>830</v>
      </c>
      <c r="Z87">
        <v>1</v>
      </c>
      <c r="AA87">
        <v>244</v>
      </c>
      <c r="AB87">
        <v>15</v>
      </c>
      <c r="AC87" t="str">
        <f t="shared" si="5"/>
        <v>CLURAC</v>
      </c>
      <c r="AD87" t="s">
        <v>3174</v>
      </c>
      <c r="AE87" t="str">
        <f t="shared" si="6"/>
        <v>5chlorouracil</v>
      </c>
      <c r="AF87" t="s">
        <v>3176</v>
      </c>
      <c r="AG87" s="15" t="s">
        <v>2894</v>
      </c>
      <c r="AH87" t="s">
        <v>2884</v>
      </c>
      <c r="AI87" t="str">
        <f t="shared" si="7"/>
        <v>CSD,version,6.01</v>
      </c>
      <c r="AJ87" t="str">
        <f t="shared" si="8"/>
        <v>C4,H3,N2,O2,Cl</v>
      </c>
      <c r="AK87"/>
      <c r="AL87">
        <v>1</v>
      </c>
      <c r="AM87">
        <v>1</v>
      </c>
      <c r="AN87" t="str">
        <f t="shared" si="9"/>
        <v>CLURAC &amp; \ce{C4 H3 N2 O2 Cl} &amp; 5-Chlorouracil &amp; 1 &amp; 1 \\</v>
      </c>
    </row>
    <row r="88" spans="1:40" x14ac:dyDescent="0.2">
      <c r="A88" t="s">
        <v>183</v>
      </c>
      <c r="B88" t="s">
        <v>184</v>
      </c>
      <c r="C88">
        <v>0</v>
      </c>
      <c r="D88" t="s">
        <v>185</v>
      </c>
      <c r="E88" t="s">
        <v>185</v>
      </c>
      <c r="F88" t="s">
        <v>8</v>
      </c>
      <c r="G88" t="s">
        <v>186</v>
      </c>
      <c r="H88" t="s">
        <v>830</v>
      </c>
      <c r="I88" t="s">
        <v>1591</v>
      </c>
      <c r="J88" t="s">
        <v>1394</v>
      </c>
      <c r="K88" t="s">
        <v>847</v>
      </c>
      <c r="L88" t="s">
        <v>984</v>
      </c>
      <c r="M88" t="s">
        <v>1603</v>
      </c>
      <c r="N88">
        <v>42887</v>
      </c>
      <c r="O88" t="s">
        <v>830</v>
      </c>
      <c r="P88" t="s">
        <v>830</v>
      </c>
      <c r="Q88" t="s">
        <v>830</v>
      </c>
      <c r="R88" t="s">
        <v>830</v>
      </c>
      <c r="S88" t="s">
        <v>1587</v>
      </c>
      <c r="T88" t="s">
        <v>830</v>
      </c>
      <c r="U88" t="s">
        <v>830</v>
      </c>
      <c r="V88" t="s">
        <v>830</v>
      </c>
      <c r="W88" t="s">
        <v>1896</v>
      </c>
      <c r="X88" t="s">
        <v>1888</v>
      </c>
      <c r="Y88" t="s">
        <v>830</v>
      </c>
      <c r="Z88">
        <v>2</v>
      </c>
      <c r="AA88">
        <v>266</v>
      </c>
      <c r="AB88">
        <v>24.19</v>
      </c>
      <c r="AC88" t="str">
        <f t="shared" si="5"/>
        <v>CORONE</v>
      </c>
      <c r="AD88" s="4" t="s">
        <v>185</v>
      </c>
      <c r="AE88" t="str">
        <f t="shared" si="6"/>
        <v>Coronene</v>
      </c>
      <c r="AF88" t="str">
        <f>AE88</f>
        <v>Coronene</v>
      </c>
      <c r="AG88" s="15" t="s">
        <v>3070</v>
      </c>
      <c r="AH88" s="4" t="s">
        <v>3061</v>
      </c>
      <c r="AI88" t="str">
        <f t="shared" si="7"/>
        <v>CSD,Version,5.45,with,Nov,2023,update</v>
      </c>
      <c r="AJ88" t="str">
        <f t="shared" si="8"/>
        <v>C24,H12</v>
      </c>
      <c r="AK88" t="s">
        <v>3057</v>
      </c>
      <c r="AL88">
        <v>1</v>
      </c>
      <c r="AM88">
        <v>1</v>
      </c>
      <c r="AN88" t="str">
        <f t="shared" si="9"/>
        <v>CORONE &amp; \ce{C24 H12} &amp; Coronene &amp; 1 &amp; 1 \\</v>
      </c>
    </row>
    <row r="89" spans="1:40" x14ac:dyDescent="0.2">
      <c r="A89" t="s">
        <v>187</v>
      </c>
      <c r="B89" t="s">
        <v>188</v>
      </c>
      <c r="C89">
        <v>0</v>
      </c>
      <c r="D89" t="s">
        <v>189</v>
      </c>
      <c r="E89" t="s">
        <v>189</v>
      </c>
      <c r="F89" t="s">
        <v>8</v>
      </c>
      <c r="G89" t="s">
        <v>2667</v>
      </c>
      <c r="H89" t="s">
        <v>830</v>
      </c>
      <c r="I89" t="s">
        <v>2385</v>
      </c>
      <c r="J89" t="s">
        <v>1169</v>
      </c>
      <c r="K89" t="s">
        <v>845</v>
      </c>
      <c r="L89" t="s">
        <v>1553</v>
      </c>
      <c r="M89" t="s">
        <v>876</v>
      </c>
      <c r="N89">
        <v>2005</v>
      </c>
      <c r="O89" t="s">
        <v>830</v>
      </c>
      <c r="P89" t="s">
        <v>2668</v>
      </c>
      <c r="Q89" t="s">
        <v>830</v>
      </c>
      <c r="T89" t="s">
        <v>830</v>
      </c>
      <c r="U89" t="s">
        <v>830</v>
      </c>
      <c r="W89" t="s">
        <v>2653</v>
      </c>
      <c r="X89" t="s">
        <v>2666</v>
      </c>
      <c r="Y89" t="s">
        <v>830</v>
      </c>
      <c r="Z89">
        <v>2</v>
      </c>
      <c r="AA89">
        <v>53</v>
      </c>
      <c r="AB89">
        <v>5</v>
      </c>
      <c r="AC89" t="str">
        <f t="shared" si="5"/>
        <v>COUMAR</v>
      </c>
      <c r="AD89" s="4" t="s">
        <v>189</v>
      </c>
      <c r="AE89" t="str">
        <f t="shared" si="6"/>
        <v>Coumarin</v>
      </c>
      <c r="AF89" t="str">
        <f>AE89</f>
        <v>Coumarin</v>
      </c>
      <c r="AG89" s="15" t="s">
        <v>3132</v>
      </c>
      <c r="AH89" s="4" t="s">
        <v>2884</v>
      </c>
      <c r="AI89" t="str">
        <f t="shared" si="7"/>
        <v>CSD,version,6.01,with,Feb,2026,update</v>
      </c>
      <c r="AJ89" t="str">
        <f t="shared" si="8"/>
        <v>C9,H6,O2</v>
      </c>
      <c r="AL89">
        <v>1</v>
      </c>
      <c r="AM89">
        <v>1</v>
      </c>
      <c r="AN89" t="str">
        <f t="shared" si="9"/>
        <v>COUMAR &amp; \ce{C9 H6 O2} &amp; Coumarin &amp; 1 &amp; 1 \\</v>
      </c>
    </row>
    <row r="90" spans="1:40" x14ac:dyDescent="0.2">
      <c r="A90" t="s">
        <v>190</v>
      </c>
      <c r="B90" t="s">
        <v>1592</v>
      </c>
      <c r="C90">
        <v>0</v>
      </c>
      <c r="D90" t="s">
        <v>191</v>
      </c>
      <c r="E90" t="s">
        <v>192</v>
      </c>
      <c r="F90" t="s">
        <v>191</v>
      </c>
      <c r="G90" t="s">
        <v>1593</v>
      </c>
      <c r="H90" t="s">
        <v>830</v>
      </c>
      <c r="I90" t="s">
        <v>1591</v>
      </c>
      <c r="J90" t="s">
        <v>1412</v>
      </c>
      <c r="K90" t="s">
        <v>850</v>
      </c>
      <c r="L90" t="s">
        <v>1553</v>
      </c>
      <c r="M90" t="s">
        <v>891</v>
      </c>
      <c r="N90" t="s">
        <v>1596</v>
      </c>
      <c r="O90" t="s">
        <v>830</v>
      </c>
      <c r="P90" t="s">
        <v>896</v>
      </c>
      <c r="Q90" t="s">
        <v>830</v>
      </c>
      <c r="T90" t="s">
        <v>830</v>
      </c>
      <c r="U90" t="s">
        <v>830</v>
      </c>
      <c r="W90" t="s">
        <v>2110</v>
      </c>
      <c r="X90" t="s">
        <v>2106</v>
      </c>
      <c r="Y90" t="s">
        <v>830</v>
      </c>
      <c r="Z90">
        <v>2</v>
      </c>
      <c r="AA90">
        <v>438</v>
      </c>
      <c r="AB90">
        <v>30.77</v>
      </c>
      <c r="AC90" t="str">
        <f t="shared" si="5"/>
        <v>COYRUD</v>
      </c>
      <c r="AD90" s="4" t="s">
        <v>191</v>
      </c>
      <c r="AE90" t="str">
        <f t="shared" si="6"/>
        <v>Naproxen</v>
      </c>
      <c r="AF90" t="str">
        <f>AE90</f>
        <v>Naproxen</v>
      </c>
      <c r="AG90" s="15" t="s">
        <v>2894</v>
      </c>
      <c r="AH90" s="4" t="s">
        <v>3072</v>
      </c>
      <c r="AI90" t="str">
        <f t="shared" si="7"/>
        <v>CSD,Version,5.45,with,Nov,2023,update</v>
      </c>
      <c r="AJ90" t="str">
        <f t="shared" si="8"/>
        <v>C14,H14,O3</v>
      </c>
      <c r="AK90" t="s">
        <v>3057</v>
      </c>
      <c r="AL90">
        <v>2</v>
      </c>
      <c r="AM90">
        <v>5</v>
      </c>
      <c r="AN90" t="str">
        <f t="shared" si="9"/>
        <v>COYRUD &amp; \ce{C14 H14 O3} &amp; Naproxen &amp; 2 &amp; 5 \\</v>
      </c>
    </row>
    <row r="91" spans="1:40" x14ac:dyDescent="0.2">
      <c r="A91" t="s">
        <v>190</v>
      </c>
      <c r="B91" t="s">
        <v>1592</v>
      </c>
      <c r="C91">
        <v>10</v>
      </c>
      <c r="D91" t="s">
        <v>191</v>
      </c>
      <c r="E91" t="s">
        <v>192</v>
      </c>
      <c r="F91" t="s">
        <v>191</v>
      </c>
      <c r="G91" t="s">
        <v>1593</v>
      </c>
      <c r="H91" t="s">
        <v>830</v>
      </c>
      <c r="I91" t="s">
        <v>1591</v>
      </c>
      <c r="J91" t="s">
        <v>1600</v>
      </c>
      <c r="K91" t="s">
        <v>850</v>
      </c>
      <c r="L91" t="s">
        <v>1595</v>
      </c>
      <c r="M91" t="s">
        <v>2588</v>
      </c>
      <c r="N91" t="s">
        <v>1596</v>
      </c>
      <c r="O91" t="s">
        <v>830</v>
      </c>
      <c r="P91" t="s">
        <v>896</v>
      </c>
      <c r="Q91" t="s">
        <v>830</v>
      </c>
      <c r="T91" t="s">
        <v>830</v>
      </c>
      <c r="U91" t="s">
        <v>830</v>
      </c>
      <c r="W91" t="s">
        <v>2110</v>
      </c>
      <c r="X91" t="s">
        <v>2107</v>
      </c>
      <c r="Y91" t="s">
        <v>830</v>
      </c>
      <c r="Z91">
        <v>2</v>
      </c>
      <c r="AA91">
        <v>58</v>
      </c>
      <c r="AB91">
        <v>90.298000000000002</v>
      </c>
      <c r="AC91" t="str">
        <f t="shared" si="5"/>
        <v/>
      </c>
      <c r="AE91" t="str">
        <f t="shared" si="6"/>
        <v/>
      </c>
      <c r="AI91" t="str">
        <f t="shared" si="7"/>
        <v/>
      </c>
      <c r="AJ91" t="str">
        <f t="shared" si="8"/>
        <v/>
      </c>
      <c r="AN91" t="str">
        <f>IF(AM91&lt;&gt;"",CONCATENATE(AC91," &amp; ",SUBSTITUTE(AJ91,","," ")," &amp; ",SUBSTITUTE(AF91,"."," ")," &amp; ",AL91," &amp; ",AM91," \\"),"")</f>
        <v/>
      </c>
    </row>
    <row r="92" spans="1:40" x14ac:dyDescent="0.2">
      <c r="A92" t="s">
        <v>190</v>
      </c>
      <c r="B92" t="s">
        <v>1592</v>
      </c>
      <c r="C92">
        <v>11</v>
      </c>
      <c r="D92" t="s">
        <v>191</v>
      </c>
      <c r="E92" t="s">
        <v>1607</v>
      </c>
      <c r="G92" t="s">
        <v>1593</v>
      </c>
      <c r="H92" t="s">
        <v>830</v>
      </c>
      <c r="I92" t="s">
        <v>1591</v>
      </c>
      <c r="J92" t="s">
        <v>1601</v>
      </c>
      <c r="K92" t="s">
        <v>839</v>
      </c>
      <c r="L92" t="s">
        <v>1472</v>
      </c>
      <c r="M92" t="s">
        <v>1586</v>
      </c>
      <c r="N92" t="s">
        <v>1597</v>
      </c>
      <c r="O92" t="s">
        <v>830</v>
      </c>
      <c r="P92" t="s">
        <v>2104</v>
      </c>
      <c r="Q92" t="s">
        <v>830</v>
      </c>
      <c r="R92" t="s">
        <v>830</v>
      </c>
      <c r="S92" t="s">
        <v>1587</v>
      </c>
      <c r="T92" t="s">
        <v>830</v>
      </c>
      <c r="U92" t="s">
        <v>830</v>
      </c>
      <c r="W92" t="s">
        <v>2110</v>
      </c>
      <c r="X92" t="s">
        <v>2108</v>
      </c>
      <c r="Y92" t="s">
        <v>830</v>
      </c>
      <c r="Z92">
        <v>2</v>
      </c>
      <c r="AA92">
        <v>857</v>
      </c>
      <c r="AB92">
        <v>15</v>
      </c>
      <c r="AC92" t="str">
        <f t="shared" si="5"/>
        <v/>
      </c>
      <c r="AE92" t="str">
        <f t="shared" si="6"/>
        <v/>
      </c>
      <c r="AI92" t="str">
        <f t="shared" si="7"/>
        <v/>
      </c>
      <c r="AJ92" t="str">
        <f t="shared" si="8"/>
        <v/>
      </c>
      <c r="AK92" s="8"/>
      <c r="AL92" s="8"/>
      <c r="AM92" s="8"/>
      <c r="AN92" t="str">
        <f>IF(AM92&lt;&gt;"",CONCATENATE(AC92," &amp; ",SUBSTITUTE(AJ92,","," ")," &amp; ",SUBSTITUTE(AF92,"."," ")," &amp; ",AL92," &amp; ",AM92," \\"),"")</f>
        <v/>
      </c>
    </row>
    <row r="93" spans="1:40" s="8" customFormat="1" x14ac:dyDescent="0.2">
      <c r="A93" t="s">
        <v>190</v>
      </c>
      <c r="B93" t="s">
        <v>1592</v>
      </c>
      <c r="C93">
        <v>20</v>
      </c>
      <c r="D93" t="s">
        <v>191</v>
      </c>
      <c r="E93" t="s">
        <v>1607</v>
      </c>
      <c r="F93"/>
      <c r="G93" t="s">
        <v>1593</v>
      </c>
      <c r="H93" t="s">
        <v>830</v>
      </c>
      <c r="I93" t="s">
        <v>1591</v>
      </c>
      <c r="J93" t="s">
        <v>1601</v>
      </c>
      <c r="K93" t="s">
        <v>839</v>
      </c>
      <c r="L93" t="s">
        <v>1005</v>
      </c>
      <c r="M93" t="s">
        <v>896</v>
      </c>
      <c r="N93" t="s">
        <v>1597</v>
      </c>
      <c r="O93" t="s">
        <v>830</v>
      </c>
      <c r="P93" t="s">
        <v>896</v>
      </c>
      <c r="Q93" t="s">
        <v>830</v>
      </c>
      <c r="R93"/>
      <c r="S93"/>
      <c r="T93" t="s">
        <v>830</v>
      </c>
      <c r="U93" t="s">
        <v>830</v>
      </c>
      <c r="V93"/>
      <c r="W93" t="s">
        <v>2110</v>
      </c>
      <c r="X93" t="s">
        <v>2109</v>
      </c>
      <c r="Y93" t="s">
        <v>830</v>
      </c>
      <c r="Z93">
        <v>2</v>
      </c>
      <c r="AA93">
        <v>3844</v>
      </c>
      <c r="AB93">
        <v>20</v>
      </c>
      <c r="AC93" t="str">
        <f t="shared" si="5"/>
        <v/>
      </c>
      <c r="AD93"/>
      <c r="AE93" t="str">
        <f t="shared" si="6"/>
        <v/>
      </c>
      <c r="AF93"/>
      <c r="AG93" s="15"/>
      <c r="AH93"/>
      <c r="AI93" t="str">
        <f t="shared" si="7"/>
        <v/>
      </c>
      <c r="AJ93" t="str">
        <f t="shared" si="8"/>
        <v/>
      </c>
      <c r="AK93"/>
      <c r="AL93"/>
      <c r="AM93"/>
      <c r="AN93" t="str">
        <f>IF(AM93&lt;&gt;"",CONCATENATE(AC93," &amp; ",SUBSTITUTE(AJ93,","," ")," &amp; ",SUBSTITUTE(AF93,"."," ")," &amp; ",AL93," &amp; ",AM93," \\"),"")</f>
        <v/>
      </c>
    </row>
    <row r="94" spans="1:40" x14ac:dyDescent="0.2">
      <c r="A94" t="s">
        <v>190</v>
      </c>
      <c r="B94" t="s">
        <v>1592</v>
      </c>
      <c r="C94">
        <v>21</v>
      </c>
      <c r="D94" t="s">
        <v>191</v>
      </c>
      <c r="E94" t="s">
        <v>192</v>
      </c>
      <c r="F94" t="s">
        <v>191</v>
      </c>
      <c r="G94" t="s">
        <v>1593</v>
      </c>
      <c r="H94" t="s">
        <v>830</v>
      </c>
      <c r="I94" t="s">
        <v>1591</v>
      </c>
      <c r="J94" t="s">
        <v>1599</v>
      </c>
      <c r="K94" t="s">
        <v>850</v>
      </c>
      <c r="L94" t="s">
        <v>1594</v>
      </c>
      <c r="M94" t="s">
        <v>891</v>
      </c>
      <c r="N94" t="s">
        <v>1596</v>
      </c>
      <c r="O94" t="s">
        <v>830</v>
      </c>
      <c r="P94" t="s">
        <v>896</v>
      </c>
      <c r="Q94" t="s">
        <v>830</v>
      </c>
      <c r="T94" t="s">
        <v>830</v>
      </c>
      <c r="U94" t="s">
        <v>830</v>
      </c>
      <c r="W94" t="s">
        <v>2110</v>
      </c>
      <c r="X94" t="s">
        <v>2105</v>
      </c>
      <c r="Y94" t="s">
        <v>830</v>
      </c>
      <c r="Z94">
        <v>2</v>
      </c>
      <c r="AA94">
        <v>50</v>
      </c>
      <c r="AB94">
        <v>24</v>
      </c>
      <c r="AC94" t="str">
        <f t="shared" si="5"/>
        <v/>
      </c>
      <c r="AE94" t="str">
        <f t="shared" si="6"/>
        <v/>
      </c>
      <c r="AI94" t="str">
        <f t="shared" si="7"/>
        <v/>
      </c>
      <c r="AJ94" t="str">
        <f t="shared" si="8"/>
        <v/>
      </c>
      <c r="AN94" t="str">
        <f>IF(AM94&lt;&gt;"",CONCATENATE(AC94," &amp; ",SUBSTITUTE(AJ94,","," ")," &amp; ",SUBSTITUTE(AF94,"."," ")," &amp; ",AL94," &amp; ",AM94," \\"),"")</f>
        <v/>
      </c>
    </row>
    <row r="95" spans="1:40" x14ac:dyDescent="0.2">
      <c r="A95" s="4" t="s">
        <v>1076</v>
      </c>
      <c r="B95" t="s">
        <v>600</v>
      </c>
      <c r="C95">
        <v>10</v>
      </c>
      <c r="D95" t="s">
        <v>601</v>
      </c>
      <c r="E95" t="s">
        <v>602</v>
      </c>
      <c r="F95" t="s">
        <v>8</v>
      </c>
      <c r="G95" s="4" t="s">
        <v>1076</v>
      </c>
      <c r="H95" s="4" t="s">
        <v>830</v>
      </c>
      <c r="I95" t="s">
        <v>2385</v>
      </c>
      <c r="J95" t="s">
        <v>1228</v>
      </c>
      <c r="K95" t="s">
        <v>1668</v>
      </c>
      <c r="L95" s="4" t="s">
        <v>2631</v>
      </c>
      <c r="M95" s="4" t="s">
        <v>2629</v>
      </c>
      <c r="N95">
        <v>2009</v>
      </c>
      <c r="O95" t="s">
        <v>830</v>
      </c>
      <c r="P95" t="s">
        <v>877</v>
      </c>
      <c r="Q95" t="s">
        <v>830</v>
      </c>
      <c r="T95" s="4" t="s">
        <v>830</v>
      </c>
      <c r="U95" s="4" t="s">
        <v>830</v>
      </c>
      <c r="V95" s="4"/>
      <c r="W95" t="s">
        <v>2653</v>
      </c>
      <c r="X95" s="4" t="s">
        <v>2651</v>
      </c>
      <c r="Y95" s="4" t="s">
        <v>830</v>
      </c>
      <c r="Z95">
        <v>1</v>
      </c>
      <c r="AA95">
        <v>10</v>
      </c>
      <c r="AB95">
        <v>6.0579999999999998</v>
      </c>
      <c r="AC95" t="str">
        <f t="shared" si="5"/>
        <v>CUTCAW</v>
      </c>
      <c r="AD95" s="4" t="s">
        <v>601</v>
      </c>
      <c r="AE95" t="str">
        <f t="shared" si="6"/>
        <v>Phenanthrenol</v>
      </c>
      <c r="AF95" t="str">
        <f>AE95</f>
        <v>Phenanthrenol</v>
      </c>
      <c r="AG95" s="15" t="s">
        <v>3132</v>
      </c>
      <c r="AH95" s="4" t="s">
        <v>2884</v>
      </c>
      <c r="AI95" t="str">
        <f t="shared" si="7"/>
        <v>CSD,version,6.01,with,Feb,2026,update</v>
      </c>
      <c r="AJ95" t="str">
        <f t="shared" si="8"/>
        <v>C14,H10,O1</v>
      </c>
      <c r="AL95">
        <v>1</v>
      </c>
      <c r="AM95">
        <v>2</v>
      </c>
      <c r="AN95" t="str">
        <f>IF(AM95&lt;&gt;"",CONCATENATE(AC95," &amp; \ce{",SUBSTITUTE(AJ95,","," "),"} &amp; ",SUBSTITUTE(AF95,"."," ")," &amp; ",AL95," &amp; ",AM95," \\"),"")</f>
        <v>CUTCAW &amp; \ce{C14 H10 O1} &amp; Phenanthrenol &amp; 1 &amp; 2 \\</v>
      </c>
    </row>
    <row r="96" spans="1:40" x14ac:dyDescent="0.2">
      <c r="A96" s="4" t="s">
        <v>1076</v>
      </c>
      <c r="B96" t="s">
        <v>600</v>
      </c>
      <c r="C96">
        <v>20</v>
      </c>
      <c r="D96" t="s">
        <v>601</v>
      </c>
      <c r="E96" t="s">
        <v>602</v>
      </c>
      <c r="F96" t="s">
        <v>8</v>
      </c>
      <c r="G96" s="4" t="s">
        <v>1076</v>
      </c>
      <c r="H96" s="4" t="s">
        <v>830</v>
      </c>
      <c r="I96" t="s">
        <v>2385</v>
      </c>
      <c r="J96" t="s">
        <v>1229</v>
      </c>
      <c r="K96" t="s">
        <v>1668</v>
      </c>
      <c r="L96" t="s">
        <v>2630</v>
      </c>
      <c r="M96" t="s">
        <v>2628</v>
      </c>
      <c r="N96">
        <v>2009</v>
      </c>
      <c r="O96" t="s">
        <v>830</v>
      </c>
      <c r="P96" t="s">
        <v>2649</v>
      </c>
      <c r="Q96" t="s">
        <v>830</v>
      </c>
      <c r="T96" s="4" t="s">
        <v>830</v>
      </c>
      <c r="U96" s="4" t="s">
        <v>830</v>
      </c>
      <c r="V96" s="4"/>
      <c r="W96" t="s">
        <v>2653</v>
      </c>
      <c r="X96" s="4" t="s">
        <v>2650</v>
      </c>
      <c r="Y96" s="4" t="s">
        <v>830</v>
      </c>
      <c r="Z96">
        <v>1</v>
      </c>
      <c r="AA96">
        <v>2691</v>
      </c>
      <c r="AB96">
        <v>28.13</v>
      </c>
      <c r="AC96" t="str">
        <f t="shared" si="5"/>
        <v/>
      </c>
      <c r="AE96" t="str">
        <f t="shared" si="6"/>
        <v/>
      </c>
      <c r="AI96" t="str">
        <f t="shared" si="7"/>
        <v/>
      </c>
      <c r="AJ96" t="str">
        <f t="shared" si="8"/>
        <v/>
      </c>
      <c r="AN96" t="str">
        <f>IF(AM96&lt;&gt;"",CONCATENATE(AC96," &amp; ",SUBSTITUTE(AJ96,","," ")," &amp; ",SUBSTITUTE(AF96,"."," ")," &amp; ",AL96," &amp; ",AM96," \\"),"")</f>
        <v/>
      </c>
    </row>
    <row r="97" spans="1:40" ht="15" x14ac:dyDescent="0.25">
      <c r="A97" t="s">
        <v>193</v>
      </c>
      <c r="B97" s="17" t="s">
        <v>329</v>
      </c>
      <c r="C97">
        <v>0</v>
      </c>
      <c r="D97" t="s">
        <v>194</v>
      </c>
      <c r="E97" t="s">
        <v>195</v>
      </c>
      <c r="F97" t="s">
        <v>196</v>
      </c>
      <c r="G97" t="s">
        <v>2566</v>
      </c>
      <c r="H97" t="s">
        <v>830</v>
      </c>
      <c r="I97" t="s">
        <v>2385</v>
      </c>
      <c r="J97" t="s">
        <v>1175</v>
      </c>
      <c r="K97" t="s">
        <v>838</v>
      </c>
      <c r="L97" t="s">
        <v>1553</v>
      </c>
      <c r="M97" t="s">
        <v>876</v>
      </c>
      <c r="N97">
        <v>2005</v>
      </c>
      <c r="O97" t="s">
        <v>830</v>
      </c>
      <c r="P97" t="s">
        <v>2567</v>
      </c>
      <c r="Q97" t="s">
        <v>830</v>
      </c>
      <c r="T97" t="s">
        <v>830</v>
      </c>
      <c r="U97" t="s">
        <v>830</v>
      </c>
      <c r="W97" t="s">
        <v>2526</v>
      </c>
      <c r="X97" t="s">
        <v>2568</v>
      </c>
      <c r="Y97" t="s">
        <v>830</v>
      </c>
      <c r="Z97">
        <v>1</v>
      </c>
      <c r="AA97">
        <v>30</v>
      </c>
      <c r="AB97">
        <v>18.59</v>
      </c>
      <c r="AC97" t="str">
        <f t="shared" si="5"/>
        <v>CYTSIN</v>
      </c>
      <c r="AD97" s="4" t="s">
        <v>194</v>
      </c>
      <c r="AE97" t="str">
        <f t="shared" si="6"/>
        <v>Cytosine</v>
      </c>
      <c r="AF97" t="str">
        <f>AE97</f>
        <v>Cytosine</v>
      </c>
      <c r="AG97" s="15" t="s">
        <v>2889</v>
      </c>
      <c r="AH97" s="4" t="s">
        <v>2884</v>
      </c>
      <c r="AI97" t="str">
        <f t="shared" si="7"/>
        <v>CSD,version,6.01,with,Feb,2026,update</v>
      </c>
      <c r="AJ97" t="str">
        <f t="shared" si="8"/>
        <v>C4,H5,N3,O1</v>
      </c>
      <c r="AL97">
        <v>1</v>
      </c>
      <c r="AM97">
        <v>1</v>
      </c>
      <c r="AN97" t="str">
        <f>IF(AM97&lt;&gt;"",CONCATENATE(AC97," &amp; \ce{",SUBSTITUTE(AJ97,","," "),"} &amp; ",SUBSTITUTE(AF97,"."," ")," &amp; ",AL97," &amp; ",AM97," \\"),"")</f>
        <v>CYTSIN &amp; \ce{C4 H5 N3 O1} &amp; Cytosine &amp; 1 &amp; 1 \\</v>
      </c>
    </row>
    <row r="98" spans="1:40" x14ac:dyDescent="0.2">
      <c r="A98" t="s">
        <v>197</v>
      </c>
      <c r="B98" t="s">
        <v>198</v>
      </c>
      <c r="C98">
        <v>0</v>
      </c>
      <c r="D98" t="s">
        <v>199</v>
      </c>
      <c r="E98" t="s">
        <v>2531</v>
      </c>
      <c r="F98" t="s">
        <v>8</v>
      </c>
      <c r="G98" t="s">
        <v>2529</v>
      </c>
      <c r="H98" t="s">
        <v>830</v>
      </c>
      <c r="I98" t="s">
        <v>2385</v>
      </c>
      <c r="J98" t="s">
        <v>1170</v>
      </c>
      <c r="K98" t="s">
        <v>838</v>
      </c>
      <c r="L98" t="s">
        <v>1558</v>
      </c>
      <c r="M98" t="s">
        <v>880</v>
      </c>
      <c r="N98">
        <v>2005</v>
      </c>
      <c r="O98" t="s">
        <v>830</v>
      </c>
      <c r="P98" t="s">
        <v>2530</v>
      </c>
      <c r="Q98" t="s">
        <v>830</v>
      </c>
      <c r="T98" t="s">
        <v>830</v>
      </c>
      <c r="U98" t="s">
        <v>830</v>
      </c>
      <c r="W98" t="s">
        <v>2526</v>
      </c>
      <c r="X98" t="s">
        <v>2532</v>
      </c>
      <c r="Y98" t="s">
        <v>830</v>
      </c>
      <c r="Z98">
        <v>1</v>
      </c>
      <c r="AA98">
        <v>19</v>
      </c>
      <c r="AB98">
        <v>6.1</v>
      </c>
      <c r="AC98" t="str">
        <f t="shared" ref="AC98:AC129" si="10">IF(AND(A98&lt;&gt;A97,T98="Yes"),A98,"")</f>
        <v>CYURAC</v>
      </c>
      <c r="AD98" s="4" t="s">
        <v>3217</v>
      </c>
      <c r="AE98" t="str">
        <f t="shared" si="6"/>
        <v>CyanuricAcid</v>
      </c>
      <c r="AF98" t="s">
        <v>3224</v>
      </c>
      <c r="AG98" s="15" t="s">
        <v>2889</v>
      </c>
      <c r="AH98" s="4" t="s">
        <v>2884</v>
      </c>
      <c r="AI98" t="str">
        <f t="shared" si="7"/>
        <v>CSD,version,6.01,with,Feb,2026,update</v>
      </c>
      <c r="AJ98" t="str">
        <f t="shared" si="8"/>
        <v>C3,H3,N3,O3</v>
      </c>
      <c r="AL98">
        <v>1</v>
      </c>
      <c r="AM98">
        <v>1</v>
      </c>
      <c r="AN98" t="str">
        <f>IF(AM98&lt;&gt;"",CONCATENATE(AC98," &amp; \ce{",SUBSTITUTE(AJ98,","," "),"} &amp; ",SUBSTITUTE(AF98,"."," ")," &amp; ",AL98," &amp; ",AM98," \\"),"")</f>
        <v>CYURAC &amp; \ce{C3 H3 N3 O3} &amp; Cyanuric Acid &amp; 1 &amp; 1 \\</v>
      </c>
    </row>
    <row r="99" spans="1:40" ht="15" x14ac:dyDescent="0.25">
      <c r="A99" t="s">
        <v>200</v>
      </c>
      <c r="B99" s="17" t="s">
        <v>3436</v>
      </c>
      <c r="C99">
        <v>10</v>
      </c>
      <c r="D99" t="s">
        <v>201</v>
      </c>
      <c r="E99" t="s">
        <v>201</v>
      </c>
      <c r="F99" t="s">
        <v>8</v>
      </c>
      <c r="G99" t="s">
        <v>200</v>
      </c>
      <c r="H99" t="s">
        <v>830</v>
      </c>
      <c r="I99" t="s">
        <v>2385</v>
      </c>
      <c r="J99" t="s">
        <v>1131</v>
      </c>
      <c r="K99" t="s">
        <v>852</v>
      </c>
      <c r="L99" t="s">
        <v>2438</v>
      </c>
      <c r="M99" t="s">
        <v>1491</v>
      </c>
      <c r="N99">
        <v>2009</v>
      </c>
      <c r="O99" t="s">
        <v>830</v>
      </c>
      <c r="P99" t="s">
        <v>1491</v>
      </c>
      <c r="Q99" t="s">
        <v>830</v>
      </c>
      <c r="T99" t="s">
        <v>830</v>
      </c>
      <c r="U99" t="s">
        <v>830</v>
      </c>
      <c r="W99" t="s">
        <v>2479</v>
      </c>
      <c r="X99" t="s">
        <v>2456</v>
      </c>
      <c r="Y99" t="s">
        <v>830</v>
      </c>
      <c r="Z99">
        <v>1</v>
      </c>
      <c r="AA99">
        <v>56</v>
      </c>
      <c r="AB99">
        <v>62.14</v>
      </c>
      <c r="AC99" t="str">
        <f t="shared" si="10"/>
        <v>DAQYUQ</v>
      </c>
      <c r="AD99" t="s">
        <v>3092</v>
      </c>
      <c r="AE99" t="str">
        <f t="shared" si="6"/>
        <v>Bipy-2Aminobenzoic</v>
      </c>
      <c r="AF99" t="s">
        <v>3111</v>
      </c>
      <c r="AG99" s="15" t="s">
        <v>2889</v>
      </c>
      <c r="AH99" t="s">
        <v>2888</v>
      </c>
      <c r="AI99" t="str">
        <f t="shared" si="7"/>
        <v>CSD,version,6.01,with,Feb,2026,update</v>
      </c>
      <c r="AJ99" t="str">
        <f t="shared" si="8"/>
        <v>C10,H8,N2,.,C7,H7,N1,O2,.,C7,H7,N1,O2</v>
      </c>
      <c r="AL99">
        <v>1</v>
      </c>
      <c r="AM99">
        <v>3</v>
      </c>
      <c r="AN99" t="str">
        <f>IF(AM99&lt;&gt;"",CONCATENATE(AC99," &amp; \ce{",SUBSTITUTE(AJ99,","," "),"} &amp; ",SUBSTITUTE(AF99,"."," ")," &amp; ",AL99," &amp; ",AM99," \\"),"")</f>
        <v>DAQYUQ &amp; \ce{C10 H8 N2 . C7 H7 N1 O2 . C7 H7 N1 O2} &amp; Bipyridine bis Aminobenzoic Acid cocrystal &amp; 1 &amp; 3 \\</v>
      </c>
    </row>
    <row r="100" spans="1:40" ht="15" x14ac:dyDescent="0.25">
      <c r="A100" t="s">
        <v>200</v>
      </c>
      <c r="B100" s="17" t="s">
        <v>3436</v>
      </c>
      <c r="C100">
        <v>11</v>
      </c>
      <c r="D100" t="s">
        <v>201</v>
      </c>
      <c r="E100" t="s">
        <v>201</v>
      </c>
      <c r="F100" t="s">
        <v>8</v>
      </c>
      <c r="G100" t="s">
        <v>200</v>
      </c>
      <c r="H100" t="s">
        <v>830</v>
      </c>
      <c r="I100" t="s">
        <v>2385</v>
      </c>
      <c r="J100" t="s">
        <v>1133</v>
      </c>
      <c r="K100" t="s">
        <v>852</v>
      </c>
      <c r="L100" t="s">
        <v>2434</v>
      </c>
      <c r="M100" t="s">
        <v>1491</v>
      </c>
      <c r="N100">
        <v>2009</v>
      </c>
      <c r="O100" t="s">
        <v>830</v>
      </c>
      <c r="P100" t="s">
        <v>1491</v>
      </c>
      <c r="Q100" t="s">
        <v>830</v>
      </c>
      <c r="T100" t="s">
        <v>830</v>
      </c>
      <c r="U100" t="s">
        <v>830</v>
      </c>
      <c r="W100" t="s">
        <v>2479</v>
      </c>
      <c r="X100" t="s">
        <v>2457</v>
      </c>
      <c r="Y100" t="s">
        <v>830</v>
      </c>
      <c r="Z100">
        <v>1</v>
      </c>
      <c r="AA100">
        <v>667</v>
      </c>
      <c r="AB100">
        <v>79.864000000000004</v>
      </c>
      <c r="AC100" t="str">
        <f t="shared" si="10"/>
        <v/>
      </c>
      <c r="AE100" t="str">
        <f t="shared" si="6"/>
        <v/>
      </c>
      <c r="AI100" t="str">
        <f t="shared" si="7"/>
        <v/>
      </c>
      <c r="AJ100" t="str">
        <f t="shared" si="8"/>
        <v/>
      </c>
      <c r="AK100" s="8"/>
      <c r="AL100" s="8"/>
      <c r="AM100" s="8"/>
      <c r="AN100" t="str">
        <f>IF(AM100&lt;&gt;"",CONCATENATE(AC100," &amp; ",SUBSTITUTE(AJ100,","," ")," &amp; ",SUBSTITUTE(AF100,"."," ")," &amp; ",AL100," &amp; ",AM100," \\"),"")</f>
        <v/>
      </c>
    </row>
    <row r="101" spans="1:40" s="8" customFormat="1" ht="15" x14ac:dyDescent="0.25">
      <c r="A101" t="s">
        <v>200</v>
      </c>
      <c r="B101" s="17" t="s">
        <v>3436</v>
      </c>
      <c r="C101">
        <v>12</v>
      </c>
      <c r="D101" t="s">
        <v>201</v>
      </c>
      <c r="E101" t="s">
        <v>201</v>
      </c>
      <c r="F101" t="s">
        <v>8</v>
      </c>
      <c r="G101" t="s">
        <v>200</v>
      </c>
      <c r="H101" t="s">
        <v>830</v>
      </c>
      <c r="I101" t="s">
        <v>2385</v>
      </c>
      <c r="J101" t="s">
        <v>1132</v>
      </c>
      <c r="K101" t="s">
        <v>852</v>
      </c>
      <c r="L101" t="s">
        <v>2430</v>
      </c>
      <c r="M101" t="s">
        <v>2444</v>
      </c>
      <c r="N101">
        <v>2009</v>
      </c>
      <c r="O101" t="s">
        <v>830</v>
      </c>
      <c r="P101" t="s">
        <v>2455</v>
      </c>
      <c r="Q101" t="s">
        <v>830</v>
      </c>
      <c r="R101"/>
      <c r="S101"/>
      <c r="T101" t="s">
        <v>830</v>
      </c>
      <c r="U101" t="s">
        <v>830</v>
      </c>
      <c r="V101"/>
      <c r="W101" t="s">
        <v>2479</v>
      </c>
      <c r="X101" t="s">
        <v>2458</v>
      </c>
      <c r="Y101" t="s">
        <v>830</v>
      </c>
      <c r="Z101">
        <v>1</v>
      </c>
      <c r="AA101">
        <v>25</v>
      </c>
      <c r="AB101">
        <v>21.388999999999999</v>
      </c>
      <c r="AC101" t="str">
        <f t="shared" si="10"/>
        <v/>
      </c>
      <c r="AD101"/>
      <c r="AE101" t="str">
        <f t="shared" si="6"/>
        <v/>
      </c>
      <c r="AF101"/>
      <c r="AG101" s="15"/>
      <c r="AH101"/>
      <c r="AI101" t="str">
        <f t="shared" si="7"/>
        <v/>
      </c>
      <c r="AJ101" t="str">
        <f t="shared" si="8"/>
        <v/>
      </c>
      <c r="AK101"/>
      <c r="AL101"/>
      <c r="AM101"/>
      <c r="AN101" t="str">
        <f>IF(AM101&lt;&gt;"",CONCATENATE(AC101," &amp; ",SUBSTITUTE(AJ101,","," ")," &amp; ",SUBSTITUTE(AF101,"."," ")," &amp; ",AL101," &amp; ",AM101," \\"),"")</f>
        <v/>
      </c>
    </row>
    <row r="102" spans="1:40" x14ac:dyDescent="0.2">
      <c r="A102" t="s">
        <v>202</v>
      </c>
      <c r="B102" t="s">
        <v>203</v>
      </c>
      <c r="C102">
        <v>0</v>
      </c>
      <c r="D102" t="s">
        <v>204</v>
      </c>
      <c r="E102" t="s">
        <v>205</v>
      </c>
      <c r="F102" t="s">
        <v>8</v>
      </c>
      <c r="G102" t="s">
        <v>2669</v>
      </c>
      <c r="H102" t="s">
        <v>830</v>
      </c>
      <c r="I102" t="s">
        <v>2385</v>
      </c>
      <c r="J102" t="s">
        <v>1118</v>
      </c>
      <c r="K102" t="s">
        <v>845</v>
      </c>
      <c r="L102" t="s">
        <v>1553</v>
      </c>
      <c r="M102" t="s">
        <v>876</v>
      </c>
      <c r="N102" t="s">
        <v>1876</v>
      </c>
      <c r="O102" t="s">
        <v>830</v>
      </c>
      <c r="P102" t="s">
        <v>2670</v>
      </c>
      <c r="Q102" t="s">
        <v>830</v>
      </c>
      <c r="T102" t="s">
        <v>830</v>
      </c>
      <c r="U102" t="s">
        <v>830</v>
      </c>
      <c r="W102" t="s">
        <v>2653</v>
      </c>
      <c r="X102" t="s">
        <v>2672</v>
      </c>
      <c r="Y102" t="s">
        <v>830</v>
      </c>
      <c r="Z102">
        <v>1</v>
      </c>
      <c r="AA102">
        <v>26</v>
      </c>
      <c r="AB102">
        <v>7</v>
      </c>
      <c r="AC102" t="str">
        <f t="shared" si="10"/>
        <v>DAXBIN</v>
      </c>
      <c r="AD102" t="s">
        <v>3231</v>
      </c>
      <c r="AE102" t="str">
        <f t="shared" si="6"/>
        <v>6methoxycoumarin</v>
      </c>
      <c r="AF102" t="s">
        <v>3225</v>
      </c>
      <c r="AG102" s="15" t="s">
        <v>3132</v>
      </c>
      <c r="AH102" t="s">
        <v>2884</v>
      </c>
      <c r="AI102" t="str">
        <f t="shared" si="7"/>
        <v>CSD,version,6.01,with,Feb,2026,update</v>
      </c>
      <c r="AJ102" t="str">
        <f t="shared" si="8"/>
        <v>C10,H8,O3</v>
      </c>
      <c r="AL102">
        <v>1</v>
      </c>
      <c r="AM102">
        <v>1</v>
      </c>
      <c r="AN102" t="str">
        <f>IF(AM102&lt;&gt;"",CONCATENATE(AC102," &amp; \ce{",SUBSTITUTE(AJ102,","," "),"} &amp; ",SUBSTITUTE(AF102,"."," ")," &amp; ",AL102," &amp; ",AM102," \\"),"")</f>
        <v>DAXBIN &amp; \ce{C10 H8 O3} &amp; 6-Methoxycoumarin &amp; 1 &amp; 1 \\</v>
      </c>
    </row>
    <row r="103" spans="1:40" ht="15" x14ac:dyDescent="0.25">
      <c r="A103" t="s">
        <v>1065</v>
      </c>
      <c r="B103" s="17" t="s">
        <v>3015</v>
      </c>
      <c r="C103">
        <v>0</v>
      </c>
      <c r="D103" t="s">
        <v>285</v>
      </c>
      <c r="E103" t="s">
        <v>286</v>
      </c>
      <c r="F103" t="s">
        <v>287</v>
      </c>
      <c r="G103" t="s">
        <v>1065</v>
      </c>
      <c r="H103" t="s">
        <v>830</v>
      </c>
      <c r="I103" t="s">
        <v>2385</v>
      </c>
      <c r="J103" t="s">
        <v>1181</v>
      </c>
      <c r="K103" t="s">
        <v>2524</v>
      </c>
      <c r="L103" t="s">
        <v>1553</v>
      </c>
      <c r="M103" s="4" t="s">
        <v>876</v>
      </c>
      <c r="N103" s="4" t="s">
        <v>1876</v>
      </c>
      <c r="O103" s="4" t="s">
        <v>830</v>
      </c>
      <c r="P103" s="4" t="s">
        <v>2624</v>
      </c>
      <c r="Q103" s="4" t="s">
        <v>830</v>
      </c>
      <c r="T103" t="s">
        <v>830</v>
      </c>
      <c r="U103" t="s">
        <v>830</v>
      </c>
      <c r="W103" t="s">
        <v>2581</v>
      </c>
      <c r="X103" t="s">
        <v>2625</v>
      </c>
      <c r="Y103" s="4" t="s">
        <v>830</v>
      </c>
      <c r="Z103">
        <v>1</v>
      </c>
      <c r="AA103">
        <v>28</v>
      </c>
      <c r="AB103">
        <v>5</v>
      </c>
      <c r="AC103" t="str">
        <f t="shared" si="10"/>
        <v>DBTROP</v>
      </c>
      <c r="AD103" t="s">
        <v>285</v>
      </c>
      <c r="AE103" t="str">
        <f t="shared" si="6"/>
        <v>Dibenzosuberenone</v>
      </c>
      <c r="AF103" t="str">
        <f>AE103</f>
        <v>Dibenzosuberenone</v>
      </c>
      <c r="AG103" s="15" t="s">
        <v>2889</v>
      </c>
      <c r="AH103" t="s">
        <v>2884</v>
      </c>
      <c r="AI103" t="str">
        <f t="shared" si="7"/>
        <v>CSD,version,6.01,with,Feb,2026,update</v>
      </c>
      <c r="AJ103" t="str">
        <f t="shared" si="8"/>
        <v>C15,H10,O1</v>
      </c>
      <c r="AK103" t="s">
        <v>3417</v>
      </c>
      <c r="AL103">
        <v>1</v>
      </c>
      <c r="AM103">
        <v>1</v>
      </c>
      <c r="AN103" t="str">
        <f>IF(AM103&lt;&gt;"",CONCATENATE(AC103," &amp; \ce{",SUBSTITUTE(AJ103,","," "),"} &amp; ",SUBSTITUTE(AF103,"."," ")," &amp; ",AL103," &amp; ",AM103," \\"),"")</f>
        <v>DBTROP &amp; \ce{C15 H10 O1} &amp; Dibenzosuberenone &amp; 1 &amp; 1 \\</v>
      </c>
    </row>
    <row r="104" spans="1:40" ht="12.75" customHeight="1" x14ac:dyDescent="0.2">
      <c r="A104" t="s">
        <v>206</v>
      </c>
      <c r="B104" t="s">
        <v>207</v>
      </c>
      <c r="C104">
        <v>0</v>
      </c>
      <c r="D104" t="s">
        <v>208</v>
      </c>
      <c r="E104" t="s">
        <v>209</v>
      </c>
      <c r="F104" t="s">
        <v>8</v>
      </c>
      <c r="G104" t="s">
        <v>2838</v>
      </c>
      <c r="H104" t="s">
        <v>830</v>
      </c>
      <c r="I104" t="s">
        <v>2385</v>
      </c>
      <c r="J104" t="s">
        <v>1182</v>
      </c>
      <c r="K104" t="s">
        <v>2524</v>
      </c>
      <c r="L104" t="s">
        <v>2773</v>
      </c>
      <c r="M104" t="s">
        <v>876</v>
      </c>
      <c r="N104" t="s">
        <v>1876</v>
      </c>
      <c r="O104" t="s">
        <v>830</v>
      </c>
      <c r="P104" t="s">
        <v>2839</v>
      </c>
      <c r="Q104" t="s">
        <v>830</v>
      </c>
      <c r="T104" t="s">
        <v>830</v>
      </c>
      <c r="U104" t="s">
        <v>830</v>
      </c>
      <c r="W104" t="s">
        <v>2836</v>
      </c>
      <c r="X104" t="s">
        <v>2845</v>
      </c>
      <c r="Y104" t="s">
        <v>830</v>
      </c>
      <c r="Z104">
        <v>1</v>
      </c>
      <c r="AA104">
        <v>115</v>
      </c>
      <c r="AB104">
        <v>4.76</v>
      </c>
      <c r="AC104" t="str">
        <f t="shared" si="10"/>
        <v>DCLMET</v>
      </c>
      <c r="AD104" t="s">
        <v>3218</v>
      </c>
      <c r="AE104" t="str">
        <f t="shared" si="6"/>
        <v>Dichloromethane</v>
      </c>
      <c r="AF104" t="str">
        <f>AE104</f>
        <v>Dichloromethane</v>
      </c>
      <c r="AG104" s="15" t="s">
        <v>2887</v>
      </c>
      <c r="AH104" t="s">
        <v>2897</v>
      </c>
      <c r="AI104" t="str">
        <f t="shared" si="7"/>
        <v>CSD,version,6.01,with,Feb,2026,update</v>
      </c>
      <c r="AJ104" t="str">
        <f t="shared" si="8"/>
        <v>C1,H2,Cl2</v>
      </c>
      <c r="AL104">
        <v>2</v>
      </c>
      <c r="AM104">
        <v>1</v>
      </c>
      <c r="AN104" t="str">
        <f>IF(AM104&lt;&gt;"",CONCATENATE(AC104," &amp; \ce{",SUBSTITUTE(AJ104,","," "),"} &amp; ",SUBSTITUTE(AF104,"."," ")," &amp; ",AL104," &amp; ",AM104," \\"),"")</f>
        <v>DCLMET &amp; \ce{C1 H2 Cl2} &amp; Dichloromethane &amp; 2 &amp; 1 \\</v>
      </c>
    </row>
    <row r="105" spans="1:40" ht="12.75" customHeight="1" x14ac:dyDescent="0.2">
      <c r="A105" t="s">
        <v>206</v>
      </c>
      <c r="B105" t="s">
        <v>207</v>
      </c>
      <c r="C105">
        <v>2</v>
      </c>
      <c r="D105" t="s">
        <v>208</v>
      </c>
      <c r="E105" t="s">
        <v>209</v>
      </c>
      <c r="F105" t="s">
        <v>8</v>
      </c>
      <c r="G105" t="s">
        <v>2838</v>
      </c>
      <c r="H105" t="s">
        <v>830</v>
      </c>
      <c r="I105" t="s">
        <v>2385</v>
      </c>
      <c r="J105" t="s">
        <v>1183</v>
      </c>
      <c r="K105" t="s">
        <v>2524</v>
      </c>
      <c r="L105" t="s">
        <v>2773</v>
      </c>
      <c r="M105" t="s">
        <v>876</v>
      </c>
      <c r="N105" t="s">
        <v>1876</v>
      </c>
      <c r="O105" t="s">
        <v>830</v>
      </c>
      <c r="P105" t="s">
        <v>881</v>
      </c>
      <c r="Q105" t="s">
        <v>830</v>
      </c>
      <c r="T105" t="s">
        <v>830</v>
      </c>
      <c r="U105" t="s">
        <v>830</v>
      </c>
      <c r="W105" t="s">
        <v>2836</v>
      </c>
      <c r="X105" t="s">
        <v>2846</v>
      </c>
      <c r="Y105" t="s">
        <v>830</v>
      </c>
      <c r="Z105">
        <v>1</v>
      </c>
      <c r="AA105">
        <v>324</v>
      </c>
      <c r="AB105">
        <v>10</v>
      </c>
      <c r="AC105" t="str">
        <f t="shared" si="10"/>
        <v/>
      </c>
      <c r="AE105" t="str">
        <f t="shared" si="6"/>
        <v/>
      </c>
      <c r="AI105" t="str">
        <f t="shared" si="7"/>
        <v/>
      </c>
      <c r="AJ105" t="str">
        <f t="shared" si="8"/>
        <v/>
      </c>
      <c r="AN105" t="str">
        <f>IF(AM105&lt;&gt;"",CONCATENATE(AC105," &amp; ",SUBSTITUTE(AJ105,","," ")," &amp; ",SUBSTITUTE(AF105,"."," ")," &amp; ",AL105," &amp; ",AM105," \\"),"")</f>
        <v/>
      </c>
    </row>
    <row r="106" spans="1:40" ht="12.75" customHeight="1" x14ac:dyDescent="0.2">
      <c r="A106" t="s">
        <v>210</v>
      </c>
      <c r="B106" t="s">
        <v>211</v>
      </c>
      <c r="C106">
        <v>0</v>
      </c>
      <c r="D106" t="s">
        <v>212</v>
      </c>
      <c r="E106" t="s">
        <v>213</v>
      </c>
      <c r="F106" t="s">
        <v>214</v>
      </c>
      <c r="G106" t="s">
        <v>215</v>
      </c>
      <c r="H106" t="s">
        <v>830</v>
      </c>
      <c r="I106" t="s">
        <v>2385</v>
      </c>
      <c r="J106" t="s">
        <v>2527</v>
      </c>
      <c r="K106" t="s">
        <v>875</v>
      </c>
      <c r="L106" t="s">
        <v>1553</v>
      </c>
      <c r="M106" t="s">
        <v>2504</v>
      </c>
      <c r="N106">
        <v>2005</v>
      </c>
      <c r="O106" t="s">
        <v>830</v>
      </c>
      <c r="P106" t="s">
        <v>2536</v>
      </c>
      <c r="Q106" t="s">
        <v>830</v>
      </c>
      <c r="T106" t="s">
        <v>830</v>
      </c>
      <c r="U106" t="s">
        <v>830</v>
      </c>
      <c r="W106" t="s">
        <v>2526</v>
      </c>
      <c r="X106" t="s">
        <v>2533</v>
      </c>
      <c r="Y106" t="s">
        <v>830</v>
      </c>
      <c r="Z106">
        <v>2</v>
      </c>
      <c r="AA106">
        <v>28</v>
      </c>
      <c r="AB106">
        <v>8</v>
      </c>
      <c r="AC106" t="str">
        <f t="shared" si="10"/>
        <v>DEFDUN</v>
      </c>
      <c r="AD106" t="s">
        <v>3226</v>
      </c>
      <c r="AE106" t="str">
        <f t="shared" si="6"/>
        <v>34-dinitrochlorobenzene</v>
      </c>
      <c r="AF106" t="s">
        <v>3227</v>
      </c>
      <c r="AG106" s="15" t="s">
        <v>2889</v>
      </c>
      <c r="AH106" t="s">
        <v>2884</v>
      </c>
      <c r="AI106" t="str">
        <f t="shared" si="7"/>
        <v>CSD,version,6.01,with,Feb,2026,update</v>
      </c>
      <c r="AJ106" t="str">
        <f t="shared" si="8"/>
        <v>C6,H3,N2,O4,Cl1</v>
      </c>
      <c r="AL106">
        <v>3</v>
      </c>
      <c r="AM106">
        <v>3</v>
      </c>
      <c r="AN106" t="str">
        <f>IF(AM106&lt;&gt;"",CONCATENATE(AC106," &amp; \ce{",SUBSTITUTE(AJ106,","," "),"} &amp; ",SUBSTITUTE(AF106,"."," ")," &amp; ",AL106," &amp; ",AM106," \\"),"")</f>
        <v>DEFDUN &amp; \ce{C6 H3 N2 O4 Cl1} &amp; 3,4-dinitrochlorobenzene &amp; 3 &amp; 3 \\</v>
      </c>
    </row>
    <row r="107" spans="1:40" ht="12.75" customHeight="1" x14ac:dyDescent="0.2">
      <c r="A107" t="s">
        <v>210</v>
      </c>
      <c r="B107" t="s">
        <v>211</v>
      </c>
      <c r="C107">
        <v>1</v>
      </c>
      <c r="D107" t="s">
        <v>212</v>
      </c>
      <c r="E107" t="s">
        <v>213</v>
      </c>
      <c r="F107" t="s">
        <v>214</v>
      </c>
      <c r="G107" t="s">
        <v>215</v>
      </c>
      <c r="H107" t="s">
        <v>830</v>
      </c>
      <c r="I107" t="s">
        <v>2385</v>
      </c>
      <c r="J107" t="s">
        <v>2392</v>
      </c>
      <c r="K107" t="s">
        <v>875</v>
      </c>
      <c r="L107" t="s">
        <v>1553</v>
      </c>
      <c r="M107" t="s">
        <v>2504</v>
      </c>
      <c r="N107">
        <v>2005</v>
      </c>
      <c r="O107" t="s">
        <v>830</v>
      </c>
      <c r="P107" t="s">
        <v>2536</v>
      </c>
      <c r="Q107" t="s">
        <v>830</v>
      </c>
      <c r="T107" t="s">
        <v>830</v>
      </c>
      <c r="U107" t="s">
        <v>830</v>
      </c>
      <c r="W107" t="s">
        <v>2526</v>
      </c>
      <c r="X107" t="s">
        <v>2535</v>
      </c>
      <c r="Y107" t="s">
        <v>830</v>
      </c>
      <c r="Z107">
        <v>1</v>
      </c>
      <c r="AA107">
        <v>47</v>
      </c>
      <c r="AB107">
        <v>8</v>
      </c>
      <c r="AC107" t="str">
        <f t="shared" si="10"/>
        <v/>
      </c>
      <c r="AE107" t="str">
        <f t="shared" si="6"/>
        <v/>
      </c>
      <c r="AI107" t="str">
        <f t="shared" si="7"/>
        <v/>
      </c>
      <c r="AJ107" t="str">
        <f t="shared" si="8"/>
        <v/>
      </c>
      <c r="AN107" t="str">
        <f>IF(AM107&lt;&gt;"",CONCATENATE(AC107," &amp; ",SUBSTITUTE(AJ107,","," ")," &amp; ",SUBSTITUTE(AF107,"."," ")," &amp; ",AL107," &amp; ",AM107," \\"),"")</f>
        <v/>
      </c>
    </row>
    <row r="108" spans="1:40" ht="12.75" customHeight="1" x14ac:dyDescent="0.2">
      <c r="A108" t="s">
        <v>210</v>
      </c>
      <c r="B108" t="s">
        <v>211</v>
      </c>
      <c r="C108">
        <v>2</v>
      </c>
      <c r="D108" t="s">
        <v>212</v>
      </c>
      <c r="E108" t="s">
        <v>213</v>
      </c>
      <c r="F108" t="s">
        <v>214</v>
      </c>
      <c r="G108" t="s">
        <v>215</v>
      </c>
      <c r="H108" t="s">
        <v>830</v>
      </c>
      <c r="I108" t="s">
        <v>2385</v>
      </c>
      <c r="J108" t="s">
        <v>2528</v>
      </c>
      <c r="K108" t="s">
        <v>846</v>
      </c>
      <c r="L108" t="s">
        <v>1553</v>
      </c>
      <c r="M108" t="s">
        <v>2504</v>
      </c>
      <c r="N108">
        <v>2007</v>
      </c>
      <c r="O108" t="s">
        <v>830</v>
      </c>
      <c r="P108" t="s">
        <v>2536</v>
      </c>
      <c r="Q108" t="s">
        <v>830</v>
      </c>
      <c r="T108" t="s">
        <v>830</v>
      </c>
      <c r="U108" t="s">
        <v>830</v>
      </c>
      <c r="W108" t="s">
        <v>2526</v>
      </c>
      <c r="X108" t="s">
        <v>2534</v>
      </c>
      <c r="Y108" t="s">
        <v>830</v>
      </c>
      <c r="Z108">
        <v>1</v>
      </c>
      <c r="AA108">
        <v>84</v>
      </c>
      <c r="AB108">
        <v>8</v>
      </c>
      <c r="AC108" t="str">
        <f t="shared" si="10"/>
        <v/>
      </c>
      <c r="AE108" t="str">
        <f t="shared" si="6"/>
        <v/>
      </c>
      <c r="AI108" t="str">
        <f t="shared" si="7"/>
        <v/>
      </c>
      <c r="AJ108" t="str">
        <f t="shared" si="8"/>
        <v/>
      </c>
      <c r="AN108" t="str">
        <f>IF(AM108&lt;&gt;"",CONCATENATE(AC108," &amp; ",SUBSTITUTE(AJ108,","," ")," &amp; ",SUBSTITUTE(AF108,"."," ")," &amp; ",AL108," &amp; ",AM108," \\"),"")</f>
        <v/>
      </c>
    </row>
    <row r="109" spans="1:40" x14ac:dyDescent="0.2">
      <c r="A109" t="s">
        <v>216</v>
      </c>
      <c r="B109" t="s">
        <v>217</v>
      </c>
      <c r="C109">
        <v>0</v>
      </c>
      <c r="D109" t="s">
        <v>218</v>
      </c>
      <c r="E109" t="s">
        <v>219</v>
      </c>
      <c r="F109" t="s">
        <v>220</v>
      </c>
      <c r="G109" t="s">
        <v>216</v>
      </c>
      <c r="H109" t="s">
        <v>830</v>
      </c>
      <c r="I109" t="s">
        <v>2385</v>
      </c>
      <c r="J109" t="s">
        <v>1121</v>
      </c>
      <c r="K109" t="s">
        <v>845</v>
      </c>
      <c r="L109" t="s">
        <v>1553</v>
      </c>
      <c r="M109" t="s">
        <v>876</v>
      </c>
      <c r="N109" t="s">
        <v>1876</v>
      </c>
      <c r="O109" t="s">
        <v>830</v>
      </c>
      <c r="P109" t="s">
        <v>2676</v>
      </c>
      <c r="Q109" t="s">
        <v>830</v>
      </c>
      <c r="T109" t="s">
        <v>830</v>
      </c>
      <c r="U109" t="s">
        <v>830</v>
      </c>
      <c r="W109" t="s">
        <v>2653</v>
      </c>
      <c r="X109" t="s">
        <v>2677</v>
      </c>
      <c r="Y109" t="s">
        <v>830</v>
      </c>
      <c r="Z109">
        <v>1</v>
      </c>
      <c r="AA109">
        <v>173</v>
      </c>
      <c r="AB109">
        <v>10</v>
      </c>
      <c r="AC109" t="str">
        <f t="shared" si="10"/>
        <v>DETFOX</v>
      </c>
      <c r="AD109" t="s">
        <v>3228</v>
      </c>
      <c r="AE109" t="str">
        <f t="shared" si="6"/>
        <v>7hydroxycoumarin</v>
      </c>
      <c r="AF109" t="s">
        <v>3223</v>
      </c>
      <c r="AG109" s="15" t="s">
        <v>3229</v>
      </c>
      <c r="AH109" t="s">
        <v>2884</v>
      </c>
      <c r="AI109" t="str">
        <f t="shared" si="7"/>
        <v>CSD,version,6.01,with,Feb,2026,update</v>
      </c>
      <c r="AJ109" t="str">
        <f t="shared" si="8"/>
        <v>C9,H6,O3</v>
      </c>
      <c r="AL109">
        <v>1</v>
      </c>
      <c r="AM109">
        <v>1</v>
      </c>
      <c r="AN109" t="str">
        <f>IF(AM109&lt;&gt;"",CONCATENATE(AC109," &amp; \ce{",SUBSTITUTE(AJ109,","," "),"} &amp; ",SUBSTITUTE(AF109,"."," ")," &amp; ",AL109," &amp; ",AM109," \\"),"")</f>
        <v>DETFOX &amp; \ce{C9 H6 O3} &amp; 7-Hydroxycoumarin &amp; 1 &amp; 1 \\</v>
      </c>
    </row>
    <row r="110" spans="1:40" x14ac:dyDescent="0.2">
      <c r="A110" t="s">
        <v>221</v>
      </c>
      <c r="B110" t="s">
        <v>222</v>
      </c>
      <c r="C110">
        <v>0</v>
      </c>
      <c r="D110" t="s">
        <v>223</v>
      </c>
      <c r="E110" t="s">
        <v>224</v>
      </c>
      <c r="F110" t="s">
        <v>224</v>
      </c>
      <c r="G110" t="s">
        <v>221</v>
      </c>
      <c r="H110" t="s">
        <v>830</v>
      </c>
      <c r="I110" t="s">
        <v>2385</v>
      </c>
      <c r="J110" t="s">
        <v>2573</v>
      </c>
      <c r="K110" t="s">
        <v>913</v>
      </c>
      <c r="L110" t="s">
        <v>1553</v>
      </c>
      <c r="M110" t="s">
        <v>2505</v>
      </c>
      <c r="N110">
        <v>2009</v>
      </c>
      <c r="O110" t="s">
        <v>830</v>
      </c>
      <c r="P110" t="s">
        <v>2577</v>
      </c>
      <c r="Q110" t="s">
        <v>830</v>
      </c>
      <c r="T110" s="4" t="s">
        <v>830</v>
      </c>
      <c r="U110" s="4" t="s">
        <v>830</v>
      </c>
      <c r="W110" s="4" t="s">
        <v>2581</v>
      </c>
      <c r="X110" s="4" t="s">
        <v>2578</v>
      </c>
      <c r="Y110" s="4" t="s">
        <v>830</v>
      </c>
      <c r="Z110">
        <v>1</v>
      </c>
      <c r="AA110">
        <v>544</v>
      </c>
      <c r="AB110">
        <v>20</v>
      </c>
      <c r="AC110" t="str">
        <f t="shared" si="10"/>
        <v>DHPROA</v>
      </c>
      <c r="AD110" t="s">
        <v>3219</v>
      </c>
      <c r="AE110" t="str">
        <f t="shared" si="6"/>
        <v>Dehydroproline</v>
      </c>
      <c r="AF110" t="str">
        <f>AE110</f>
        <v>Dehydroproline</v>
      </c>
      <c r="AG110" s="15" t="s">
        <v>2889</v>
      </c>
      <c r="AH110" t="s">
        <v>2884</v>
      </c>
      <c r="AI110" t="str">
        <f t="shared" si="7"/>
        <v>CSD,version,6.01,with,Feb,2026,update</v>
      </c>
      <c r="AJ110" t="str">
        <f t="shared" si="8"/>
        <v>C10,H10,N2,O2</v>
      </c>
      <c r="AL110">
        <v>2</v>
      </c>
      <c r="AM110">
        <v>3</v>
      </c>
      <c r="AN110" t="str">
        <f>IF(AM110&lt;&gt;"",CONCATENATE(AC110," &amp; \ce{",SUBSTITUTE(AJ110,","," "),"} &amp; ",SUBSTITUTE(AF110,"."," ")," &amp; ",AL110," &amp; ",AM110," \\"),"")</f>
        <v>DHPROA &amp; \ce{C10 H10 N2 O2} &amp; Dehydroproline &amp; 2 &amp; 3 \\</v>
      </c>
    </row>
    <row r="111" spans="1:40" x14ac:dyDescent="0.2">
      <c r="A111" t="s">
        <v>221</v>
      </c>
      <c r="B111" t="s">
        <v>222</v>
      </c>
      <c r="C111">
        <v>1</v>
      </c>
      <c r="D111" t="s">
        <v>223</v>
      </c>
      <c r="E111" t="s">
        <v>224</v>
      </c>
      <c r="F111" t="s">
        <v>224</v>
      </c>
      <c r="G111" t="s">
        <v>221</v>
      </c>
      <c r="H111" t="s">
        <v>830</v>
      </c>
      <c r="I111" t="s">
        <v>2385</v>
      </c>
      <c r="J111" t="s">
        <v>2574</v>
      </c>
      <c r="K111" t="s">
        <v>913</v>
      </c>
      <c r="L111" t="s">
        <v>1553</v>
      </c>
      <c r="M111" t="s">
        <v>2505</v>
      </c>
      <c r="N111">
        <v>2009</v>
      </c>
      <c r="O111" t="s">
        <v>830</v>
      </c>
      <c r="P111" t="s">
        <v>881</v>
      </c>
      <c r="Q111" t="s">
        <v>830</v>
      </c>
      <c r="T111" s="4" t="s">
        <v>830</v>
      </c>
      <c r="U111" s="4" t="s">
        <v>830</v>
      </c>
      <c r="W111" s="4" t="s">
        <v>2581</v>
      </c>
      <c r="X111" s="4" t="s">
        <v>2579</v>
      </c>
      <c r="Y111" s="4" t="s">
        <v>830</v>
      </c>
      <c r="Z111">
        <v>1</v>
      </c>
      <c r="AA111">
        <v>54</v>
      </c>
      <c r="AB111">
        <v>9.8000000000000007</v>
      </c>
      <c r="AC111" t="str">
        <f t="shared" si="10"/>
        <v/>
      </c>
      <c r="AE111" t="str">
        <f t="shared" si="6"/>
        <v/>
      </c>
      <c r="AI111" t="str">
        <f t="shared" si="7"/>
        <v/>
      </c>
      <c r="AJ111" t="str">
        <f t="shared" si="8"/>
        <v/>
      </c>
      <c r="AN111" t="str">
        <f>IF(AM111&lt;&gt;"",CONCATENATE(AC111," &amp; ",SUBSTITUTE(AJ111,","," ")," &amp; ",SUBSTITUTE(AF111,"."," ")," &amp; ",AL111," &amp; ",AM111," \\"),"")</f>
        <v/>
      </c>
    </row>
    <row r="112" spans="1:40" x14ac:dyDescent="0.2">
      <c r="A112" t="s">
        <v>221</v>
      </c>
      <c r="B112" t="s">
        <v>222</v>
      </c>
      <c r="C112">
        <v>10</v>
      </c>
      <c r="D112" t="s">
        <v>223</v>
      </c>
      <c r="E112" t="s">
        <v>224</v>
      </c>
      <c r="F112" t="s">
        <v>224</v>
      </c>
      <c r="G112" t="s">
        <v>221</v>
      </c>
      <c r="H112" t="s">
        <v>830</v>
      </c>
      <c r="I112" t="s">
        <v>2385</v>
      </c>
      <c r="J112" t="s">
        <v>2575</v>
      </c>
      <c r="K112" t="s">
        <v>913</v>
      </c>
      <c r="L112" t="s">
        <v>2576</v>
      </c>
      <c r="M112" t="s">
        <v>920</v>
      </c>
      <c r="N112">
        <v>2009</v>
      </c>
      <c r="O112" t="s">
        <v>830</v>
      </c>
      <c r="P112" t="s">
        <v>881</v>
      </c>
      <c r="Q112" t="s">
        <v>830</v>
      </c>
      <c r="T112" s="4" t="s">
        <v>830</v>
      </c>
      <c r="U112" s="4" t="s">
        <v>830</v>
      </c>
      <c r="W112" s="4" t="s">
        <v>2581</v>
      </c>
      <c r="X112" s="4" t="s">
        <v>2580</v>
      </c>
      <c r="Y112" s="4" t="s">
        <v>830</v>
      </c>
      <c r="Z112">
        <v>1</v>
      </c>
      <c r="AA112">
        <v>19</v>
      </c>
      <c r="AB112">
        <v>5.4249999999999998</v>
      </c>
      <c r="AC112" t="str">
        <f t="shared" si="10"/>
        <v/>
      </c>
      <c r="AE112" t="str">
        <f t="shared" si="6"/>
        <v/>
      </c>
      <c r="AI112" t="str">
        <f t="shared" si="7"/>
        <v/>
      </c>
      <c r="AJ112" t="str">
        <f t="shared" si="8"/>
        <v/>
      </c>
      <c r="AN112" t="str">
        <f>IF(AM112&lt;&gt;"",CONCATENATE(AC112," &amp; ",SUBSTITUTE(AJ112,","," ")," &amp; ",SUBSTITUTE(AF112,"."," ")," &amp; ",AL112," &amp; ",AM112," \\"),"")</f>
        <v/>
      </c>
    </row>
    <row r="113" spans="1:40" x14ac:dyDescent="0.2">
      <c r="A113" t="s">
        <v>225</v>
      </c>
      <c r="B113" t="s">
        <v>226</v>
      </c>
      <c r="C113">
        <v>0</v>
      </c>
      <c r="D113" t="s">
        <v>227</v>
      </c>
      <c r="E113" t="s">
        <v>228</v>
      </c>
      <c r="F113" t="s">
        <v>8</v>
      </c>
      <c r="G113" t="s">
        <v>229</v>
      </c>
      <c r="H113" t="s">
        <v>830</v>
      </c>
      <c r="I113" t="s">
        <v>1952</v>
      </c>
      <c r="J113" t="s">
        <v>2223</v>
      </c>
      <c r="K113" t="s">
        <v>839</v>
      </c>
      <c r="L113" t="s">
        <v>2224</v>
      </c>
      <c r="M113" t="s">
        <v>876</v>
      </c>
      <c r="N113">
        <v>2015</v>
      </c>
      <c r="O113" t="s">
        <v>830</v>
      </c>
      <c r="P113" t="s">
        <v>2229</v>
      </c>
      <c r="Q113" t="s">
        <v>830</v>
      </c>
      <c r="S113" t="s">
        <v>958</v>
      </c>
      <c r="T113" t="s">
        <v>830</v>
      </c>
      <c r="U113" t="s">
        <v>830</v>
      </c>
      <c r="W113" t="s">
        <v>2250</v>
      </c>
      <c r="X113" t="s">
        <v>2230</v>
      </c>
      <c r="Y113" t="s">
        <v>830</v>
      </c>
      <c r="Z113">
        <v>4</v>
      </c>
      <c r="AA113">
        <v>619</v>
      </c>
      <c r="AB113">
        <v>105.033</v>
      </c>
      <c r="AC113" t="str">
        <f t="shared" si="10"/>
        <v>DMANTL</v>
      </c>
      <c r="AD113" t="s">
        <v>227</v>
      </c>
      <c r="AE113" t="str">
        <f t="shared" si="6"/>
        <v>Mannitol</v>
      </c>
      <c r="AF113" t="str">
        <f>AE113</f>
        <v>Mannitol</v>
      </c>
      <c r="AG113" s="15" t="s">
        <v>2925</v>
      </c>
      <c r="AH113" t="s">
        <v>3061</v>
      </c>
      <c r="AI113" t="str">
        <f t="shared" si="7"/>
        <v>CSD,version,6.01</v>
      </c>
      <c r="AJ113" t="str">
        <f t="shared" si="8"/>
        <v>C6,H14,O6</v>
      </c>
      <c r="AL113">
        <v>1</v>
      </c>
      <c r="AM113">
        <v>1</v>
      </c>
      <c r="AN113" t="str">
        <f>IF(AM113&lt;&gt;"",CONCATENATE(AC113," &amp; \ce{",SUBSTITUTE(AJ113,","," "),"} &amp; ",SUBSTITUTE(AF113,"."," ")," &amp; ",AL113," &amp; ",AM113," \\"),"")</f>
        <v>DMANTL &amp; \ce{C6 H14 O6} &amp; Mannitol &amp; 1 &amp; 1 \\</v>
      </c>
    </row>
    <row r="114" spans="1:40" x14ac:dyDescent="0.2">
      <c r="A114" t="s">
        <v>230</v>
      </c>
      <c r="B114" t="s">
        <v>231</v>
      </c>
      <c r="C114">
        <v>0</v>
      </c>
      <c r="D114" t="s">
        <v>232</v>
      </c>
      <c r="E114" t="s">
        <v>233</v>
      </c>
      <c r="F114" t="s">
        <v>234</v>
      </c>
      <c r="G114" t="s">
        <v>2058</v>
      </c>
      <c r="H114" t="s">
        <v>830</v>
      </c>
      <c r="I114" t="s">
        <v>1952</v>
      </c>
      <c r="J114" t="s">
        <v>1187</v>
      </c>
      <c r="K114" t="s">
        <v>846</v>
      </c>
      <c r="L114" t="s">
        <v>1553</v>
      </c>
      <c r="M114" t="s">
        <v>2061</v>
      </c>
      <c r="N114" t="s">
        <v>886</v>
      </c>
      <c r="O114" t="s">
        <v>830</v>
      </c>
      <c r="P114" t="s">
        <v>2055</v>
      </c>
      <c r="Q114" t="s">
        <v>830</v>
      </c>
      <c r="T114" t="s">
        <v>830</v>
      </c>
      <c r="U114" t="s">
        <v>830</v>
      </c>
      <c r="W114" t="s">
        <v>2034</v>
      </c>
      <c r="X114" t="s">
        <v>2065</v>
      </c>
      <c r="Y114" t="s">
        <v>830</v>
      </c>
      <c r="Z114">
        <v>1</v>
      </c>
      <c r="AA114">
        <v>199</v>
      </c>
      <c r="AB114">
        <v>8.83</v>
      </c>
      <c r="AC114" t="str">
        <f t="shared" si="10"/>
        <v>DOHFEM</v>
      </c>
      <c r="AD114" t="s">
        <v>3175</v>
      </c>
      <c r="AE114" t="str">
        <f t="shared" si="6"/>
        <v>5eniluracil</v>
      </c>
      <c r="AF114" t="s">
        <v>3178</v>
      </c>
      <c r="AG114" s="15" t="s">
        <v>2894</v>
      </c>
      <c r="AH114" t="s">
        <v>2922</v>
      </c>
      <c r="AI114" t="str">
        <f t="shared" si="7"/>
        <v>CSD,version,6.01</v>
      </c>
      <c r="AJ114" t="str">
        <f t="shared" si="8"/>
        <v>C6,H4,N2,O2</v>
      </c>
      <c r="AL114">
        <v>2</v>
      </c>
      <c r="AM114">
        <v>2</v>
      </c>
      <c r="AN114" t="str">
        <f>IF(AM114&lt;&gt;"",CONCATENATE(AC114," &amp; \ce{",SUBSTITUTE(AJ114,","," "),"} &amp; ",SUBSTITUTE(AF114,"."," ")," &amp; ",AL114," &amp; ",AM114," \\"),"")</f>
        <v>DOHFEM &amp; \ce{C6 H4 N2 O2} &amp; 5-Eniluracil &amp; 2 &amp; 2 \\</v>
      </c>
    </row>
    <row r="115" spans="1:40" x14ac:dyDescent="0.2">
      <c r="A115" t="s">
        <v>230</v>
      </c>
      <c r="B115" t="s">
        <v>231</v>
      </c>
      <c r="C115">
        <v>1</v>
      </c>
      <c r="D115" t="s">
        <v>232</v>
      </c>
      <c r="E115" t="s">
        <v>233</v>
      </c>
      <c r="F115" t="s">
        <v>234</v>
      </c>
      <c r="G115" t="s">
        <v>2058</v>
      </c>
      <c r="H115" t="s">
        <v>830</v>
      </c>
      <c r="I115" t="s">
        <v>1952</v>
      </c>
      <c r="J115" t="s">
        <v>1188</v>
      </c>
      <c r="K115" t="s">
        <v>839</v>
      </c>
      <c r="L115" t="s">
        <v>1553</v>
      </c>
      <c r="M115" t="s">
        <v>2060</v>
      </c>
      <c r="N115">
        <v>2007</v>
      </c>
      <c r="O115" t="s">
        <v>830</v>
      </c>
      <c r="P115" t="s">
        <v>2055</v>
      </c>
      <c r="Q115" t="s">
        <v>830</v>
      </c>
      <c r="T115" t="s">
        <v>830</v>
      </c>
      <c r="U115" t="s">
        <v>830</v>
      </c>
      <c r="W115" t="s">
        <v>2034</v>
      </c>
      <c r="X115" t="s">
        <v>2066</v>
      </c>
      <c r="Y115" t="s">
        <v>830</v>
      </c>
      <c r="Z115">
        <v>1</v>
      </c>
      <c r="AA115">
        <v>55</v>
      </c>
      <c r="AB115">
        <v>10</v>
      </c>
      <c r="AC115" t="str">
        <f t="shared" si="10"/>
        <v/>
      </c>
      <c r="AE115" t="str">
        <f t="shared" si="6"/>
        <v/>
      </c>
      <c r="AI115" t="str">
        <f t="shared" si="7"/>
        <v/>
      </c>
      <c r="AJ115" t="str">
        <f t="shared" si="8"/>
        <v/>
      </c>
      <c r="AN115" t="str">
        <f>IF(AM115&lt;&gt;"",CONCATENATE(AC115," &amp; ",SUBSTITUTE(AJ115,","," ")," &amp; ",SUBSTITUTE(AF115,"."," ")," &amp; ",AL115," &amp; ",AM115," \\"),"")</f>
        <v/>
      </c>
    </row>
    <row r="116" spans="1:40" x14ac:dyDescent="0.2">
      <c r="A116" t="s">
        <v>1991</v>
      </c>
      <c r="B116" t="s">
        <v>255</v>
      </c>
      <c r="C116">
        <v>10</v>
      </c>
      <c r="D116" t="s">
        <v>1992</v>
      </c>
      <c r="E116" t="s">
        <v>256</v>
      </c>
      <c r="F116" t="s">
        <v>257</v>
      </c>
      <c r="G116" t="s">
        <v>1993</v>
      </c>
      <c r="H116" t="s">
        <v>830</v>
      </c>
      <c r="I116" t="s">
        <v>1952</v>
      </c>
      <c r="J116" t="s">
        <v>2394</v>
      </c>
      <c r="K116" t="s">
        <v>839</v>
      </c>
      <c r="L116" t="s">
        <v>1515</v>
      </c>
      <c r="M116" t="s">
        <v>1997</v>
      </c>
      <c r="N116" t="s">
        <v>873</v>
      </c>
      <c r="O116" t="s">
        <v>830</v>
      </c>
      <c r="P116" t="s">
        <v>1996</v>
      </c>
      <c r="Q116" t="s">
        <v>830</v>
      </c>
      <c r="T116" t="s">
        <v>830</v>
      </c>
      <c r="U116" t="s">
        <v>830</v>
      </c>
      <c r="W116" t="s">
        <v>2002</v>
      </c>
      <c r="X116" t="s">
        <v>1999</v>
      </c>
      <c r="Y116" t="s">
        <v>830</v>
      </c>
      <c r="Z116">
        <v>10</v>
      </c>
      <c r="AA116">
        <v>1</v>
      </c>
      <c r="AC116" t="str">
        <f t="shared" si="10"/>
        <v>DORDUM</v>
      </c>
      <c r="AD116" t="s">
        <v>3220</v>
      </c>
      <c r="AE116" t="str">
        <f t="shared" si="6"/>
        <v>Galunisertib</v>
      </c>
      <c r="AF116" t="str">
        <f>AE116</f>
        <v>Galunisertib</v>
      </c>
      <c r="AG116" s="15" t="s">
        <v>2885</v>
      </c>
      <c r="AH116" t="s">
        <v>2888</v>
      </c>
      <c r="AI116" t="str">
        <f t="shared" si="7"/>
        <v>CSD,version,6.01</v>
      </c>
      <c r="AJ116" t="str">
        <f t="shared" si="8"/>
        <v>C22,H19,N5,O1</v>
      </c>
      <c r="AL116">
        <v>1</v>
      </c>
      <c r="AM116">
        <v>4</v>
      </c>
      <c r="AN116" t="str">
        <f>IF(AM116&lt;&gt;"",CONCATENATE(AC116," &amp; \ce{",SUBSTITUTE(AJ116,","," "),"} &amp; ",SUBSTITUTE(AF116,"."," ")," &amp; ",AL116," &amp; ",AM116," \\"),"")</f>
        <v>DORDUM &amp; \ce{C22 H19 N5 O1} &amp; Galunisertib &amp; 1 &amp; 4 \\</v>
      </c>
    </row>
    <row r="117" spans="1:40" x14ac:dyDescent="0.2">
      <c r="A117" t="s">
        <v>1991</v>
      </c>
      <c r="B117" t="s">
        <v>255</v>
      </c>
      <c r="C117">
        <v>11</v>
      </c>
      <c r="D117" t="s">
        <v>1992</v>
      </c>
      <c r="E117" t="s">
        <v>256</v>
      </c>
      <c r="F117" t="s">
        <v>257</v>
      </c>
      <c r="G117" t="s">
        <v>1993</v>
      </c>
      <c r="H117" t="s">
        <v>830</v>
      </c>
      <c r="I117" t="s">
        <v>1952</v>
      </c>
      <c r="J117" t="s">
        <v>2397</v>
      </c>
      <c r="K117" t="s">
        <v>839</v>
      </c>
      <c r="L117" t="s">
        <v>1995</v>
      </c>
      <c r="M117" t="s">
        <v>891</v>
      </c>
      <c r="N117" t="s">
        <v>873</v>
      </c>
      <c r="O117" t="s">
        <v>830</v>
      </c>
      <c r="P117" t="s">
        <v>891</v>
      </c>
      <c r="Q117" t="s">
        <v>830</v>
      </c>
      <c r="T117" t="s">
        <v>830</v>
      </c>
      <c r="U117" t="s">
        <v>830</v>
      </c>
      <c r="W117" t="s">
        <v>2002</v>
      </c>
      <c r="X117" t="s">
        <v>2001</v>
      </c>
      <c r="Y117" t="s">
        <v>830</v>
      </c>
      <c r="Z117">
        <v>10</v>
      </c>
      <c r="AC117" t="str">
        <f t="shared" si="10"/>
        <v/>
      </c>
      <c r="AE117" t="str">
        <f t="shared" si="6"/>
        <v/>
      </c>
      <c r="AI117" t="str">
        <f t="shared" si="7"/>
        <v/>
      </c>
      <c r="AJ117" t="str">
        <f t="shared" si="8"/>
        <v/>
      </c>
      <c r="AN117" t="str">
        <f>IF(AM117&lt;&gt;"",CONCATENATE(AC117," &amp; ",SUBSTITUTE(AJ117,","," ")," &amp; ",SUBSTITUTE(AF117,"."," ")," &amp; ",AL117," &amp; ",AM117," \\"),"")</f>
        <v/>
      </c>
    </row>
    <row r="118" spans="1:40" x14ac:dyDescent="0.2">
      <c r="A118" t="s">
        <v>1991</v>
      </c>
      <c r="B118" t="s">
        <v>255</v>
      </c>
      <c r="C118">
        <v>20</v>
      </c>
      <c r="D118" t="s">
        <v>1992</v>
      </c>
      <c r="E118" t="s">
        <v>256</v>
      </c>
      <c r="F118" t="s">
        <v>257</v>
      </c>
      <c r="G118" t="s">
        <v>1993</v>
      </c>
      <c r="H118" t="s">
        <v>830</v>
      </c>
      <c r="I118" t="s">
        <v>1952</v>
      </c>
      <c r="J118" t="s">
        <v>2395</v>
      </c>
      <c r="K118" t="s">
        <v>839</v>
      </c>
      <c r="L118" t="s">
        <v>1994</v>
      </c>
      <c r="M118" t="s">
        <v>891</v>
      </c>
      <c r="N118" t="s">
        <v>873</v>
      </c>
      <c r="O118" t="s">
        <v>830</v>
      </c>
      <c r="P118" t="s">
        <v>891</v>
      </c>
      <c r="Q118" t="s">
        <v>830</v>
      </c>
      <c r="T118" t="s">
        <v>830</v>
      </c>
      <c r="U118" t="s">
        <v>830</v>
      </c>
      <c r="W118" t="s">
        <v>2002</v>
      </c>
      <c r="X118" t="s">
        <v>1998</v>
      </c>
      <c r="Y118" t="s">
        <v>830</v>
      </c>
      <c r="Z118">
        <v>10</v>
      </c>
      <c r="AC118" t="str">
        <f t="shared" si="10"/>
        <v/>
      </c>
      <c r="AE118" t="str">
        <f t="shared" si="6"/>
        <v/>
      </c>
      <c r="AI118" t="str">
        <f t="shared" si="7"/>
        <v/>
      </c>
      <c r="AJ118" t="str">
        <f t="shared" si="8"/>
        <v/>
      </c>
      <c r="AN118" t="str">
        <f>IF(AM118&lt;&gt;"",CONCATENATE(AC118," &amp; ",SUBSTITUTE(AJ118,","," ")," &amp; ",SUBSTITUTE(AF118,"."," ")," &amp; ",AL118," &amp; ",AM118," \\"),"")</f>
        <v/>
      </c>
    </row>
    <row r="119" spans="1:40" x14ac:dyDescent="0.2">
      <c r="A119" t="s">
        <v>1991</v>
      </c>
      <c r="B119" t="s">
        <v>255</v>
      </c>
      <c r="C119">
        <v>30</v>
      </c>
      <c r="D119" t="s">
        <v>1992</v>
      </c>
      <c r="E119" t="s">
        <v>256</v>
      </c>
      <c r="F119" t="s">
        <v>257</v>
      </c>
      <c r="G119" t="s">
        <v>1993</v>
      </c>
      <c r="H119" t="s">
        <v>830</v>
      </c>
      <c r="I119" t="s">
        <v>1952</v>
      </c>
      <c r="J119" t="s">
        <v>2396</v>
      </c>
      <c r="K119" t="s">
        <v>839</v>
      </c>
      <c r="L119" t="s">
        <v>1513</v>
      </c>
      <c r="M119" t="s">
        <v>891</v>
      </c>
      <c r="N119" t="s">
        <v>873</v>
      </c>
      <c r="O119" t="s">
        <v>830</v>
      </c>
      <c r="P119" t="s">
        <v>891</v>
      </c>
      <c r="Q119" t="s">
        <v>830</v>
      </c>
      <c r="T119" t="s">
        <v>830</v>
      </c>
      <c r="U119" t="s">
        <v>830</v>
      </c>
      <c r="W119" t="s">
        <v>2002</v>
      </c>
      <c r="X119" t="s">
        <v>2000</v>
      </c>
      <c r="Y119" t="s">
        <v>830</v>
      </c>
      <c r="Z119">
        <v>10</v>
      </c>
      <c r="AC119" t="str">
        <f t="shared" si="10"/>
        <v/>
      </c>
      <c r="AE119" t="str">
        <f t="shared" si="6"/>
        <v/>
      </c>
      <c r="AI119" t="str">
        <f t="shared" si="7"/>
        <v/>
      </c>
      <c r="AJ119" t="str">
        <f t="shared" si="8"/>
        <v/>
      </c>
      <c r="AN119" t="str">
        <f>IF(AM119&lt;&gt;"",CONCATENATE(AC119," &amp; ",SUBSTITUTE(AJ119,","," ")," &amp; ",SUBSTITUTE(AF119,"."," ")," &amp; ",AL119," &amp; ",AM119," \\"),"")</f>
        <v/>
      </c>
    </row>
    <row r="120" spans="1:40" x14ac:dyDescent="0.2">
      <c r="A120" t="s">
        <v>235</v>
      </c>
      <c r="B120" t="s">
        <v>117</v>
      </c>
      <c r="C120">
        <v>0</v>
      </c>
      <c r="D120" t="s">
        <v>236</v>
      </c>
      <c r="E120" t="s">
        <v>237</v>
      </c>
      <c r="F120" t="s">
        <v>238</v>
      </c>
      <c r="G120" t="s">
        <v>235</v>
      </c>
      <c r="H120" t="s">
        <v>830</v>
      </c>
      <c r="I120" t="s">
        <v>1557</v>
      </c>
      <c r="J120" t="s">
        <v>1087</v>
      </c>
      <c r="K120" t="s">
        <v>846</v>
      </c>
      <c r="L120" t="s">
        <v>1558</v>
      </c>
      <c r="M120" t="s">
        <v>1559</v>
      </c>
      <c r="N120" t="s">
        <v>1561</v>
      </c>
      <c r="O120" t="s">
        <v>830</v>
      </c>
      <c r="P120" t="s">
        <v>1751</v>
      </c>
      <c r="Q120" t="s">
        <v>830</v>
      </c>
      <c r="T120" t="s">
        <v>830</v>
      </c>
      <c r="U120" t="s">
        <v>830</v>
      </c>
      <c r="W120" t="s">
        <v>1731</v>
      </c>
      <c r="X120" t="s">
        <v>1752</v>
      </c>
      <c r="Y120" t="s">
        <v>830</v>
      </c>
      <c r="Z120">
        <v>1</v>
      </c>
      <c r="AA120">
        <v>15</v>
      </c>
      <c r="AB120">
        <v>5</v>
      </c>
      <c r="AC120" t="str">
        <f t="shared" si="10"/>
        <v>DOXWIW</v>
      </c>
      <c r="AD120" t="s">
        <v>3100</v>
      </c>
      <c r="AE120" t="str">
        <f t="shared" si="6"/>
        <v>23-dichloronitrobenzene</v>
      </c>
      <c r="AF120" t="s">
        <v>3452</v>
      </c>
      <c r="AG120" s="15" t="s">
        <v>2889</v>
      </c>
      <c r="AH120" t="s">
        <v>3123</v>
      </c>
      <c r="AI120" t="str">
        <f t="shared" si="7"/>
        <v>CSD,version,5.44,with,April,2023,update</v>
      </c>
      <c r="AJ120" t="str">
        <f t="shared" si="8"/>
        <v>C6,H3,N1,O2,Cl2</v>
      </c>
      <c r="AK120" t="s">
        <v>3124</v>
      </c>
      <c r="AL120">
        <v>2</v>
      </c>
      <c r="AM120">
        <v>4</v>
      </c>
      <c r="AN120" t="str">
        <f>IF(AM120&lt;&gt;"",CONCATENATE(AC120," &amp; \ce{",SUBSTITUTE(AJ120,","," "),"} &amp; ",SUBSTITUTE(AF120,"."," ")," &amp; ",AL120," &amp; ",AM120," \\"),"")</f>
        <v>DOXWIW &amp; \ce{C6 H3 N1 O2 Cl2} &amp; 2,3-dichloronitrobenzene &amp; 2 &amp; 4 \\</v>
      </c>
    </row>
    <row r="121" spans="1:40" x14ac:dyDescent="0.2">
      <c r="A121" t="s">
        <v>235</v>
      </c>
      <c r="B121" t="s">
        <v>117</v>
      </c>
      <c r="C121">
        <v>10</v>
      </c>
      <c r="D121" t="s">
        <v>236</v>
      </c>
      <c r="E121" t="s">
        <v>237</v>
      </c>
      <c r="F121" t="s">
        <v>238</v>
      </c>
      <c r="G121" t="s">
        <v>235</v>
      </c>
      <c r="H121" t="s">
        <v>830</v>
      </c>
      <c r="I121" t="s">
        <v>1557</v>
      </c>
      <c r="J121" t="s">
        <v>1564</v>
      </c>
      <c r="K121" t="s">
        <v>839</v>
      </c>
      <c r="L121" t="s">
        <v>1472</v>
      </c>
      <c r="M121" t="s">
        <v>876</v>
      </c>
      <c r="N121" t="s">
        <v>1562</v>
      </c>
      <c r="O121" t="s">
        <v>830</v>
      </c>
      <c r="P121" t="s">
        <v>1751</v>
      </c>
      <c r="Q121" t="s">
        <v>830</v>
      </c>
      <c r="T121" t="s">
        <v>830</v>
      </c>
      <c r="U121" t="s">
        <v>830</v>
      </c>
      <c r="W121" t="s">
        <v>1731</v>
      </c>
      <c r="X121" t="s">
        <v>1753</v>
      </c>
      <c r="Y121" t="s">
        <v>830</v>
      </c>
      <c r="Z121">
        <v>1</v>
      </c>
      <c r="AA121">
        <v>1316</v>
      </c>
      <c r="AB121">
        <v>18</v>
      </c>
      <c r="AC121" t="str">
        <f t="shared" si="10"/>
        <v/>
      </c>
      <c r="AE121" t="str">
        <f t="shared" si="6"/>
        <v/>
      </c>
      <c r="AI121" t="str">
        <f t="shared" si="7"/>
        <v/>
      </c>
      <c r="AJ121" t="str">
        <f t="shared" si="8"/>
        <v/>
      </c>
      <c r="AN121" t="str">
        <f>IF(AM121&lt;&gt;"",CONCATENATE(AC121," &amp; ",SUBSTITUTE(AJ121,","," ")," &amp; ",SUBSTITUTE(AF121,"."," ")," &amp; ",AL121," &amp; ",AM121," \\"),"")</f>
        <v/>
      </c>
    </row>
    <row r="122" spans="1:40" x14ac:dyDescent="0.2">
      <c r="A122" t="s">
        <v>235</v>
      </c>
      <c r="B122" t="s">
        <v>117</v>
      </c>
      <c r="C122">
        <v>20</v>
      </c>
      <c r="D122" t="s">
        <v>236</v>
      </c>
      <c r="E122" t="s">
        <v>237</v>
      </c>
      <c r="F122" t="s">
        <v>238</v>
      </c>
      <c r="G122" t="s">
        <v>235</v>
      </c>
      <c r="H122" t="s">
        <v>830</v>
      </c>
      <c r="I122" t="s">
        <v>1557</v>
      </c>
      <c r="J122" t="s">
        <v>1563</v>
      </c>
      <c r="K122" t="s">
        <v>839</v>
      </c>
      <c r="L122" t="s">
        <v>1560</v>
      </c>
      <c r="M122" t="s">
        <v>876</v>
      </c>
      <c r="N122" t="s">
        <v>1562</v>
      </c>
      <c r="O122" t="s">
        <v>830</v>
      </c>
      <c r="P122" t="s">
        <v>1751</v>
      </c>
      <c r="Q122" t="s">
        <v>830</v>
      </c>
      <c r="T122" t="s">
        <v>830</v>
      </c>
      <c r="U122" t="s">
        <v>830</v>
      </c>
      <c r="W122" t="s">
        <v>1731</v>
      </c>
      <c r="X122" t="s">
        <v>1754</v>
      </c>
      <c r="Y122" t="s">
        <v>830</v>
      </c>
      <c r="Z122">
        <v>1</v>
      </c>
      <c r="AA122">
        <v>1446</v>
      </c>
      <c r="AB122">
        <v>17.809000000000001</v>
      </c>
      <c r="AC122" t="str">
        <f t="shared" si="10"/>
        <v/>
      </c>
      <c r="AE122" t="str">
        <f t="shared" si="6"/>
        <v/>
      </c>
      <c r="AI122" t="str">
        <f t="shared" si="7"/>
        <v/>
      </c>
      <c r="AJ122" t="str">
        <f t="shared" si="8"/>
        <v/>
      </c>
      <c r="AN122" t="str">
        <f>IF(AM122&lt;&gt;"",CONCATENATE(AC122," &amp; ",SUBSTITUTE(AJ122,","," ")," &amp; ",SUBSTITUTE(AF122,"."," ")," &amp; ",AL122," &amp; ",AM122," \\"),"")</f>
        <v/>
      </c>
    </row>
    <row r="123" spans="1:40" x14ac:dyDescent="0.2">
      <c r="A123" t="s">
        <v>235</v>
      </c>
      <c r="B123" t="s">
        <v>117</v>
      </c>
      <c r="C123">
        <v>30</v>
      </c>
      <c r="D123" t="s">
        <v>236</v>
      </c>
      <c r="E123" t="s">
        <v>237</v>
      </c>
      <c r="F123" t="s">
        <v>238</v>
      </c>
      <c r="G123" t="s">
        <v>235</v>
      </c>
      <c r="H123" t="s">
        <v>830</v>
      </c>
      <c r="I123" t="s">
        <v>1557</v>
      </c>
      <c r="J123" t="s">
        <v>1566</v>
      </c>
      <c r="K123" t="s">
        <v>839</v>
      </c>
      <c r="L123" t="s">
        <v>1565</v>
      </c>
      <c r="M123" t="s">
        <v>876</v>
      </c>
      <c r="N123" t="s">
        <v>1562</v>
      </c>
      <c r="O123" t="s">
        <v>830</v>
      </c>
      <c r="P123" t="s">
        <v>1751</v>
      </c>
      <c r="Q123" t="s">
        <v>830</v>
      </c>
      <c r="T123" t="s">
        <v>830</v>
      </c>
      <c r="U123" t="s">
        <v>830</v>
      </c>
      <c r="W123" t="s">
        <v>1731</v>
      </c>
      <c r="X123" t="s">
        <v>1755</v>
      </c>
      <c r="Y123" t="s">
        <v>830</v>
      </c>
      <c r="Z123">
        <v>1</v>
      </c>
      <c r="AA123">
        <v>1316</v>
      </c>
      <c r="AB123">
        <v>17.369</v>
      </c>
      <c r="AC123" t="str">
        <f t="shared" si="10"/>
        <v/>
      </c>
      <c r="AE123" t="str">
        <f t="shared" si="6"/>
        <v/>
      </c>
      <c r="AI123" t="str">
        <f t="shared" si="7"/>
        <v/>
      </c>
      <c r="AJ123" t="str">
        <f t="shared" si="8"/>
        <v/>
      </c>
      <c r="AN123" t="str">
        <f>IF(AM123&lt;&gt;"",CONCATENATE(AC123," &amp; ",SUBSTITUTE(AJ123,","," ")," &amp; ",SUBSTITUTE(AF123,"."," ")," &amp; ",AL123," &amp; ",AM123," \\"),"")</f>
        <v/>
      </c>
    </row>
    <row r="124" spans="1:40" x14ac:dyDescent="0.2">
      <c r="A124" t="s">
        <v>239</v>
      </c>
      <c r="B124" t="s">
        <v>240</v>
      </c>
      <c r="C124">
        <v>10</v>
      </c>
      <c r="D124" t="s">
        <v>241</v>
      </c>
      <c r="E124" t="s">
        <v>242</v>
      </c>
      <c r="F124" t="s">
        <v>8</v>
      </c>
      <c r="G124" t="s">
        <v>2051</v>
      </c>
      <c r="H124" t="s">
        <v>830</v>
      </c>
      <c r="I124" t="s">
        <v>1952</v>
      </c>
      <c r="J124" t="s">
        <v>1402</v>
      </c>
      <c r="K124" t="s">
        <v>839</v>
      </c>
      <c r="L124" t="s">
        <v>2050</v>
      </c>
      <c r="M124" t="s">
        <v>876</v>
      </c>
      <c r="N124">
        <v>2018</v>
      </c>
      <c r="O124" t="s">
        <v>830</v>
      </c>
      <c r="P124" t="s">
        <v>2052</v>
      </c>
      <c r="Q124" t="s">
        <v>830</v>
      </c>
      <c r="T124" t="s">
        <v>830</v>
      </c>
      <c r="U124" t="s">
        <v>830</v>
      </c>
      <c r="W124" t="s">
        <v>2034</v>
      </c>
      <c r="X124" t="s">
        <v>2054</v>
      </c>
      <c r="Y124" t="s">
        <v>830</v>
      </c>
      <c r="Z124">
        <v>1</v>
      </c>
      <c r="AA124">
        <v>767</v>
      </c>
      <c r="AB124">
        <v>30</v>
      </c>
      <c r="AC124" t="str">
        <f t="shared" si="10"/>
        <v>EFEMUX</v>
      </c>
      <c r="AD124" t="s">
        <v>241</v>
      </c>
      <c r="AE124" t="str">
        <f t="shared" si="6"/>
        <v>Lamotrigine</v>
      </c>
      <c r="AF124" t="str">
        <f>AE124</f>
        <v>Lamotrigine</v>
      </c>
      <c r="AG124" s="15" t="s">
        <v>2894</v>
      </c>
      <c r="AH124" t="s">
        <v>2888</v>
      </c>
      <c r="AI124" t="str">
        <f t="shared" si="7"/>
        <v>CSD,version,6.01</v>
      </c>
      <c r="AJ124" t="str">
        <f t="shared" si="8"/>
        <v>C9,H7,N5,Cl2</v>
      </c>
      <c r="AL124">
        <v>1</v>
      </c>
      <c r="AM124">
        <v>2</v>
      </c>
      <c r="AN124" t="str">
        <f>IF(AM124&lt;&gt;"",CONCATENATE(AC124," &amp; \ce{",SUBSTITUTE(AJ124,","," "),"} &amp; ",SUBSTITUTE(AF124,"."," ")," &amp; ",AL124," &amp; ",AM124," \\"),"")</f>
        <v>EFEMUX &amp; \ce{C9 H7 N5 Cl2} &amp; Lamotrigine &amp; 1 &amp; 2 \\</v>
      </c>
    </row>
    <row r="125" spans="1:40" x14ac:dyDescent="0.2">
      <c r="A125" t="s">
        <v>239</v>
      </c>
      <c r="B125" t="s">
        <v>240</v>
      </c>
      <c r="C125">
        <v>20</v>
      </c>
      <c r="D125" t="s">
        <v>241</v>
      </c>
      <c r="E125" t="s">
        <v>242</v>
      </c>
      <c r="F125" t="s">
        <v>8</v>
      </c>
      <c r="G125" t="s">
        <v>2051</v>
      </c>
      <c r="H125" t="s">
        <v>830</v>
      </c>
      <c r="I125" t="s">
        <v>1952</v>
      </c>
      <c r="J125" t="s">
        <v>1401</v>
      </c>
      <c r="K125" t="s">
        <v>839</v>
      </c>
      <c r="L125" t="s">
        <v>2049</v>
      </c>
      <c r="M125" t="s">
        <v>876</v>
      </c>
      <c r="N125">
        <v>2018</v>
      </c>
      <c r="O125" t="s">
        <v>830</v>
      </c>
      <c r="P125" t="s">
        <v>891</v>
      </c>
      <c r="Q125" t="s">
        <v>830</v>
      </c>
      <c r="T125" t="s">
        <v>830</v>
      </c>
      <c r="U125" t="s">
        <v>830</v>
      </c>
      <c r="W125" t="s">
        <v>2034</v>
      </c>
      <c r="X125" t="s">
        <v>2053</v>
      </c>
      <c r="Y125" t="s">
        <v>830</v>
      </c>
      <c r="Z125">
        <v>1</v>
      </c>
      <c r="AA125">
        <v>9400</v>
      </c>
      <c r="AB125">
        <v>40</v>
      </c>
      <c r="AC125" t="str">
        <f t="shared" si="10"/>
        <v/>
      </c>
      <c r="AE125" t="str">
        <f t="shared" si="6"/>
        <v/>
      </c>
      <c r="AI125" t="str">
        <f t="shared" si="7"/>
        <v/>
      </c>
      <c r="AJ125" t="str">
        <f t="shared" si="8"/>
        <v/>
      </c>
      <c r="AN125" t="str">
        <f>IF(AM125&lt;&gt;"",CONCATENATE(AC125," &amp; ",SUBSTITUTE(AJ125,","," ")," &amp; ",SUBSTITUTE(AF125,"."," ")," &amp; ",AL125," &amp; ",AM125," \\"),"")</f>
        <v/>
      </c>
    </row>
    <row r="126" spans="1:40" x14ac:dyDescent="0.2">
      <c r="A126" t="s">
        <v>243</v>
      </c>
      <c r="B126" t="s">
        <v>244</v>
      </c>
      <c r="C126">
        <v>0</v>
      </c>
      <c r="D126" t="s">
        <v>245</v>
      </c>
      <c r="E126" t="s">
        <v>246</v>
      </c>
      <c r="F126" t="s">
        <v>8</v>
      </c>
      <c r="G126" t="s">
        <v>247</v>
      </c>
      <c r="H126" t="s">
        <v>830</v>
      </c>
      <c r="I126" t="s">
        <v>1859</v>
      </c>
      <c r="J126" t="s">
        <v>1186</v>
      </c>
      <c r="K126" t="s">
        <v>884</v>
      </c>
      <c r="L126" t="s">
        <v>1553</v>
      </c>
      <c r="M126" t="s">
        <v>876</v>
      </c>
      <c r="N126" t="s">
        <v>1876</v>
      </c>
      <c r="O126" t="s">
        <v>830</v>
      </c>
      <c r="P126" t="s">
        <v>1877</v>
      </c>
      <c r="Q126" t="s">
        <v>830</v>
      </c>
      <c r="T126" t="s">
        <v>830</v>
      </c>
      <c r="U126" t="s">
        <v>830</v>
      </c>
      <c r="W126" t="s">
        <v>1873</v>
      </c>
      <c r="X126" t="s">
        <v>1878</v>
      </c>
      <c r="Y126" t="s">
        <v>830</v>
      </c>
      <c r="Z126">
        <v>4</v>
      </c>
      <c r="AA126">
        <v>236</v>
      </c>
      <c r="AB126">
        <v>15</v>
      </c>
      <c r="AC126" t="str">
        <f t="shared" si="10"/>
        <v>EHOWIH</v>
      </c>
      <c r="AD126" t="s">
        <v>245</v>
      </c>
      <c r="AE126" t="str">
        <f t="shared" si="6"/>
        <v>Isonicotinamide</v>
      </c>
      <c r="AF126" t="str">
        <f>AE126</f>
        <v>Isonicotinamide</v>
      </c>
      <c r="AG126" s="15" t="s">
        <v>3252</v>
      </c>
      <c r="AH126" t="s">
        <v>3253</v>
      </c>
      <c r="AI126" t="str">
        <f t="shared" si="7"/>
        <v>CSD,version,5.46</v>
      </c>
      <c r="AJ126" t="str">
        <f t="shared" si="8"/>
        <v>C6,H6,N2,O1</v>
      </c>
      <c r="AL126">
        <v>2</v>
      </c>
      <c r="AM126">
        <v>6</v>
      </c>
      <c r="AN126" t="str">
        <f>IF(AM126&lt;&gt;"",CONCATENATE(AC126," &amp; \ce{",SUBSTITUTE(AJ126,","," "),"} &amp; ",SUBSTITUTE(AF126,"."," ")," &amp; ",AL126," &amp; ",AM126," \\"),"")</f>
        <v>EHOWIH &amp; \ce{C6 H6 N2 O1} &amp; Isonicotinamide &amp; 2 &amp; 6 \\</v>
      </c>
    </row>
    <row r="127" spans="1:40" x14ac:dyDescent="0.2">
      <c r="A127" t="s">
        <v>243</v>
      </c>
      <c r="B127" t="s">
        <v>244</v>
      </c>
      <c r="C127">
        <v>10</v>
      </c>
      <c r="D127" t="s">
        <v>245</v>
      </c>
      <c r="E127" t="s">
        <v>246</v>
      </c>
      <c r="F127" t="s">
        <v>8</v>
      </c>
      <c r="G127" t="s">
        <v>247</v>
      </c>
      <c r="H127" t="s">
        <v>830</v>
      </c>
      <c r="I127" t="s">
        <v>1859</v>
      </c>
      <c r="J127" t="s">
        <v>1350</v>
      </c>
      <c r="K127" t="s">
        <v>851</v>
      </c>
      <c r="L127" t="s">
        <v>1875</v>
      </c>
      <c r="M127" t="s">
        <v>876</v>
      </c>
      <c r="N127">
        <v>2010</v>
      </c>
      <c r="O127" t="s">
        <v>830</v>
      </c>
      <c r="P127" t="s">
        <v>1877</v>
      </c>
      <c r="Q127" t="s">
        <v>830</v>
      </c>
      <c r="T127" t="s">
        <v>830</v>
      </c>
      <c r="U127" t="s">
        <v>830</v>
      </c>
      <c r="W127" t="s">
        <v>1873</v>
      </c>
      <c r="X127" t="s">
        <v>1880</v>
      </c>
      <c r="Y127" t="s">
        <v>830</v>
      </c>
      <c r="Z127">
        <v>4</v>
      </c>
      <c r="AA127">
        <v>128</v>
      </c>
      <c r="AB127">
        <v>10</v>
      </c>
      <c r="AC127" t="str">
        <f t="shared" si="10"/>
        <v/>
      </c>
      <c r="AE127" t="str">
        <f t="shared" si="6"/>
        <v/>
      </c>
      <c r="AI127" t="str">
        <f t="shared" si="7"/>
        <v/>
      </c>
      <c r="AJ127" t="str">
        <f t="shared" si="8"/>
        <v/>
      </c>
      <c r="AN127" t="str">
        <f>IF(AM127&lt;&gt;"",CONCATENATE(AC127," &amp; ",SUBSTITUTE(AJ127,","," ")," &amp; ",SUBSTITUTE(AF127,"."," ")," &amp; ",AL127," &amp; ",AM127," \\"),"")</f>
        <v/>
      </c>
    </row>
    <row r="128" spans="1:40" x14ac:dyDescent="0.2">
      <c r="A128" t="s">
        <v>243</v>
      </c>
      <c r="B128" t="s">
        <v>244</v>
      </c>
      <c r="C128">
        <v>11</v>
      </c>
      <c r="D128" t="s">
        <v>245</v>
      </c>
      <c r="E128" t="s">
        <v>246</v>
      </c>
      <c r="F128" t="s">
        <v>8</v>
      </c>
      <c r="G128" t="s">
        <v>247</v>
      </c>
      <c r="H128" t="s">
        <v>830</v>
      </c>
      <c r="I128" t="s">
        <v>1859</v>
      </c>
      <c r="J128" t="s">
        <v>1351</v>
      </c>
      <c r="K128" t="s">
        <v>851</v>
      </c>
      <c r="L128" t="s">
        <v>1874</v>
      </c>
      <c r="M128" t="s">
        <v>876</v>
      </c>
      <c r="N128">
        <v>2010</v>
      </c>
      <c r="O128" t="s">
        <v>830</v>
      </c>
      <c r="P128" t="s">
        <v>1877</v>
      </c>
      <c r="Q128" t="s">
        <v>830</v>
      </c>
      <c r="T128" t="s">
        <v>830</v>
      </c>
      <c r="U128" t="s">
        <v>830</v>
      </c>
      <c r="W128" t="s">
        <v>1873</v>
      </c>
      <c r="X128" t="s">
        <v>1881</v>
      </c>
      <c r="Y128" t="s">
        <v>830</v>
      </c>
      <c r="Z128">
        <v>4</v>
      </c>
      <c r="AA128">
        <v>154</v>
      </c>
      <c r="AB128">
        <v>12.576000000000001</v>
      </c>
      <c r="AC128" t="str">
        <f t="shared" si="10"/>
        <v/>
      </c>
      <c r="AE128" t="str">
        <f t="shared" si="6"/>
        <v/>
      </c>
      <c r="AI128" t="str">
        <f t="shared" si="7"/>
        <v/>
      </c>
      <c r="AJ128" t="str">
        <f t="shared" si="8"/>
        <v/>
      </c>
      <c r="AN128" t="str">
        <f>IF(AM128&lt;&gt;"",CONCATENATE(AC128," &amp; ",SUBSTITUTE(AJ128,","," ")," &amp; ",SUBSTITUTE(AF128,"."," ")," &amp; ",AL128," &amp; ",AM128," \\"),"")</f>
        <v/>
      </c>
    </row>
    <row r="129" spans="1:40" x14ac:dyDescent="0.2">
      <c r="A129" t="s">
        <v>243</v>
      </c>
      <c r="B129" t="s">
        <v>244</v>
      </c>
      <c r="C129">
        <v>12</v>
      </c>
      <c r="D129" t="s">
        <v>245</v>
      </c>
      <c r="E129" t="s">
        <v>246</v>
      </c>
      <c r="F129" t="s">
        <v>8</v>
      </c>
      <c r="G129" t="s">
        <v>247</v>
      </c>
      <c r="H129" t="s">
        <v>830</v>
      </c>
      <c r="I129" t="s">
        <v>1859</v>
      </c>
      <c r="J129" t="s">
        <v>2393</v>
      </c>
      <c r="K129" t="s">
        <v>851</v>
      </c>
      <c r="L129" t="s">
        <v>1874</v>
      </c>
      <c r="M129" t="s">
        <v>876</v>
      </c>
      <c r="N129">
        <v>2010</v>
      </c>
      <c r="O129" t="s">
        <v>830</v>
      </c>
      <c r="P129" t="s">
        <v>1877</v>
      </c>
      <c r="Q129" t="s">
        <v>830</v>
      </c>
      <c r="T129" t="s">
        <v>830</v>
      </c>
      <c r="U129" t="s">
        <v>830</v>
      </c>
      <c r="W129" t="s">
        <v>1873</v>
      </c>
      <c r="X129" t="s">
        <v>1882</v>
      </c>
      <c r="Y129" t="s">
        <v>830</v>
      </c>
      <c r="Z129">
        <v>4</v>
      </c>
      <c r="AA129">
        <v>128</v>
      </c>
      <c r="AB129">
        <v>10.593</v>
      </c>
      <c r="AC129" t="str">
        <f t="shared" si="10"/>
        <v/>
      </c>
      <c r="AE129" t="str">
        <f t="shared" si="6"/>
        <v/>
      </c>
      <c r="AI129" t="str">
        <f t="shared" si="7"/>
        <v/>
      </c>
      <c r="AJ129" t="str">
        <f t="shared" si="8"/>
        <v/>
      </c>
      <c r="AN129" t="str">
        <f>IF(AM129&lt;&gt;"",CONCATENATE(AC129," &amp; ",SUBSTITUTE(AJ129,","," ")," &amp; ",SUBSTITUTE(AF129,"."," ")," &amp; ",AL129," &amp; ",AM129," \\"),"")</f>
        <v/>
      </c>
    </row>
    <row r="130" spans="1:40" x14ac:dyDescent="0.2">
      <c r="A130" t="s">
        <v>243</v>
      </c>
      <c r="B130" t="s">
        <v>244</v>
      </c>
      <c r="C130">
        <v>13</v>
      </c>
      <c r="D130" t="s">
        <v>245</v>
      </c>
      <c r="E130" t="s">
        <v>246</v>
      </c>
      <c r="F130" t="s">
        <v>8</v>
      </c>
      <c r="G130" t="s">
        <v>247</v>
      </c>
      <c r="H130" t="s">
        <v>830</v>
      </c>
      <c r="I130" t="s">
        <v>1859</v>
      </c>
      <c r="J130" t="s">
        <v>1349</v>
      </c>
      <c r="K130" t="s">
        <v>851</v>
      </c>
      <c r="L130" t="s">
        <v>1874</v>
      </c>
      <c r="M130" t="s">
        <v>876</v>
      </c>
      <c r="N130">
        <v>2010</v>
      </c>
      <c r="O130" t="s">
        <v>830</v>
      </c>
      <c r="P130" t="s">
        <v>1877</v>
      </c>
      <c r="Q130" t="s">
        <v>830</v>
      </c>
      <c r="T130" t="s">
        <v>830</v>
      </c>
      <c r="U130" t="s">
        <v>830</v>
      </c>
      <c r="W130" t="s">
        <v>1873</v>
      </c>
      <c r="X130" t="s">
        <v>1883</v>
      </c>
      <c r="Y130" t="s">
        <v>830</v>
      </c>
      <c r="Z130">
        <v>4</v>
      </c>
      <c r="AA130">
        <v>128</v>
      </c>
      <c r="AB130">
        <v>11.526999999999999</v>
      </c>
      <c r="AC130" t="str">
        <f t="shared" ref="AC130:AC161" si="11">IF(AND(A130&lt;&gt;A129,T130="Yes"),A130,"")</f>
        <v/>
      </c>
      <c r="AE130" t="str">
        <f t="shared" ref="AE130:AE193" si="12">IF(AC130="","",MID(X130,1,(FIND("_",X130))-1))</f>
        <v/>
      </c>
      <c r="AI130" t="str">
        <f t="shared" ref="AI130:AI193" si="13">IF(AC130="","",SUBSTITUTE(IF(MID(I130,1,5)="Yes, ",MID(I130,6,100),I130)," ",","))</f>
        <v/>
      </c>
      <c r="AJ130" t="str">
        <f t="shared" ref="AJ130:AJ193" si="14">IF(AC130="","",SUBSTITUTE(B130," ",","))</f>
        <v/>
      </c>
      <c r="AN130" t="str">
        <f>IF(AM130&lt;&gt;"",CONCATENATE(AC130," &amp; ",SUBSTITUTE(AJ130,","," ")," &amp; ",SUBSTITUTE(AF130,"."," ")," &amp; ",AL130," &amp; ",AM130," \\"),"")</f>
        <v/>
      </c>
    </row>
    <row r="131" spans="1:40" x14ac:dyDescent="0.2">
      <c r="A131" t="s">
        <v>243</v>
      </c>
      <c r="B131" t="s">
        <v>244</v>
      </c>
      <c r="C131">
        <v>30</v>
      </c>
      <c r="D131" t="s">
        <v>245</v>
      </c>
      <c r="E131" t="s">
        <v>246</v>
      </c>
      <c r="F131" t="s">
        <v>8</v>
      </c>
      <c r="G131" t="s">
        <v>247</v>
      </c>
      <c r="H131" t="s">
        <v>830</v>
      </c>
      <c r="I131" t="s">
        <v>1859</v>
      </c>
      <c r="J131" t="s">
        <v>1352</v>
      </c>
      <c r="K131" t="s">
        <v>851</v>
      </c>
      <c r="L131" t="s">
        <v>1632</v>
      </c>
      <c r="M131" t="s">
        <v>876</v>
      </c>
      <c r="N131">
        <v>2010</v>
      </c>
      <c r="O131" t="s">
        <v>830</v>
      </c>
      <c r="P131" t="s">
        <v>1877</v>
      </c>
      <c r="Q131" t="s">
        <v>830</v>
      </c>
      <c r="T131" t="s">
        <v>830</v>
      </c>
      <c r="U131" t="s">
        <v>830</v>
      </c>
      <c r="W131" t="s">
        <v>1873</v>
      </c>
      <c r="X131" t="s">
        <v>1879</v>
      </c>
      <c r="Y131" t="s">
        <v>830</v>
      </c>
      <c r="Z131">
        <v>4</v>
      </c>
      <c r="AA131">
        <v>129</v>
      </c>
      <c r="AB131">
        <v>12.385999999999999</v>
      </c>
      <c r="AC131" t="str">
        <f t="shared" si="11"/>
        <v/>
      </c>
      <c r="AE131" t="str">
        <f t="shared" si="12"/>
        <v/>
      </c>
      <c r="AI131" t="str">
        <f t="shared" si="13"/>
        <v/>
      </c>
      <c r="AJ131" t="str">
        <f t="shared" si="14"/>
        <v/>
      </c>
      <c r="AN131" t="str">
        <f>IF(AM131&lt;&gt;"",CONCATENATE(AC131," &amp; ",SUBSTITUTE(AJ131,","," ")," &amp; ",SUBSTITUTE(AF131,"."," ")," &amp; ",AL131," &amp; ",AM131," \\"),"")</f>
        <v/>
      </c>
    </row>
    <row r="132" spans="1:40" x14ac:dyDescent="0.2">
      <c r="A132" t="s">
        <v>258</v>
      </c>
      <c r="B132" t="s">
        <v>259</v>
      </c>
      <c r="C132">
        <v>0</v>
      </c>
      <c r="D132" t="s">
        <v>260</v>
      </c>
      <c r="E132" t="s">
        <v>260</v>
      </c>
      <c r="F132" t="s">
        <v>8</v>
      </c>
      <c r="G132" t="s">
        <v>258</v>
      </c>
      <c r="H132" t="s">
        <v>830</v>
      </c>
      <c r="I132" t="s">
        <v>2385</v>
      </c>
      <c r="J132" s="4" t="s">
        <v>2614</v>
      </c>
      <c r="K132" t="s">
        <v>913</v>
      </c>
      <c r="L132" t="s">
        <v>1553</v>
      </c>
      <c r="M132" t="s">
        <v>876</v>
      </c>
      <c r="N132" t="s">
        <v>1876</v>
      </c>
      <c r="O132" t="s">
        <v>830</v>
      </c>
      <c r="P132" t="s">
        <v>2617</v>
      </c>
      <c r="Q132" t="s">
        <v>830</v>
      </c>
      <c r="T132" s="4" t="s">
        <v>830</v>
      </c>
      <c r="U132" s="4" t="s">
        <v>830</v>
      </c>
      <c r="W132" t="s">
        <v>2581</v>
      </c>
      <c r="X132" s="4" t="s">
        <v>2612</v>
      </c>
      <c r="Y132" s="4" t="s">
        <v>830</v>
      </c>
      <c r="Z132">
        <v>1</v>
      </c>
      <c r="AA132">
        <v>129</v>
      </c>
      <c r="AB132" s="4" t="s">
        <v>2618</v>
      </c>
      <c r="AC132" t="str">
        <f t="shared" si="11"/>
        <v>EXEVUY</v>
      </c>
      <c r="AD132" t="s">
        <v>3258</v>
      </c>
      <c r="AE132" t="str">
        <f t="shared" si="12"/>
        <v>Hydroxymethyloxazolidinone</v>
      </c>
      <c r="AF132" t="str">
        <f>AE132</f>
        <v>Hydroxymethyloxazolidinone</v>
      </c>
      <c r="AG132" s="15" t="s">
        <v>2889</v>
      </c>
      <c r="AH132" t="s">
        <v>2884</v>
      </c>
      <c r="AI132" t="str">
        <f t="shared" si="13"/>
        <v>CSD,version,6.01,with,Feb,2026,update</v>
      </c>
      <c r="AJ132" t="str">
        <f t="shared" si="14"/>
        <v>C4,H7,N1,O3</v>
      </c>
      <c r="AL132">
        <v>1</v>
      </c>
      <c r="AM132">
        <v>2</v>
      </c>
      <c r="AN132" t="str">
        <f>IF(AM132&lt;&gt;"",CONCATENATE(AC132," &amp; \ce{",SUBSTITUTE(AJ132,","," "),"} &amp; ",SUBSTITUTE(AF132,"."," ")," &amp; ",AL132," &amp; ",AM132," \\"),"")</f>
        <v>EXEVUY &amp; \ce{C4 H7 N1 O3} &amp; Hydroxymethyloxazolidinone &amp; 1 &amp; 2 \\</v>
      </c>
    </row>
    <row r="133" spans="1:40" x14ac:dyDescent="0.2">
      <c r="A133" t="s">
        <v>258</v>
      </c>
      <c r="B133" t="s">
        <v>259</v>
      </c>
      <c r="C133">
        <v>10</v>
      </c>
      <c r="D133" t="s">
        <v>260</v>
      </c>
      <c r="E133" t="s">
        <v>260</v>
      </c>
      <c r="F133" t="s">
        <v>8</v>
      </c>
      <c r="G133" t="s">
        <v>258</v>
      </c>
      <c r="H133" t="s">
        <v>830</v>
      </c>
      <c r="I133" t="s">
        <v>2385</v>
      </c>
      <c r="J133" s="4" t="s">
        <v>2615</v>
      </c>
      <c r="K133" t="s">
        <v>913</v>
      </c>
      <c r="L133" s="4" t="s">
        <v>2616</v>
      </c>
      <c r="M133" s="4" t="s">
        <v>876</v>
      </c>
      <c r="N133" s="4" t="s">
        <v>1876</v>
      </c>
      <c r="O133" s="4" t="s">
        <v>830</v>
      </c>
      <c r="P133" s="4" t="s">
        <v>881</v>
      </c>
      <c r="Q133" s="4" t="s">
        <v>830</v>
      </c>
      <c r="T133" s="4" t="s">
        <v>830</v>
      </c>
      <c r="U133" s="4" t="s">
        <v>830</v>
      </c>
      <c r="W133" t="s">
        <v>2581</v>
      </c>
      <c r="X133" s="4" t="s">
        <v>2613</v>
      </c>
      <c r="Y133" s="4" t="s">
        <v>830</v>
      </c>
      <c r="Z133">
        <v>1</v>
      </c>
      <c r="AA133">
        <v>6</v>
      </c>
      <c r="AB133">
        <v>4.1900000000000004</v>
      </c>
      <c r="AC133" t="str">
        <f t="shared" si="11"/>
        <v/>
      </c>
      <c r="AE133" t="str">
        <f t="shared" si="12"/>
        <v/>
      </c>
      <c r="AI133" t="str">
        <f t="shared" si="13"/>
        <v/>
      </c>
      <c r="AJ133" t="str">
        <f t="shared" si="14"/>
        <v/>
      </c>
      <c r="AN133" t="str">
        <f>IF(AM133&lt;&gt;"",CONCATENATE(AC133," &amp; ",SUBSTITUTE(AJ133,","," ")," &amp; ",SUBSTITUTE(AF133,"."," ")," &amp; ",AL133," &amp; ",AM133," \\"),"")</f>
        <v/>
      </c>
    </row>
    <row r="134" spans="1:40" x14ac:dyDescent="0.2">
      <c r="A134" s="8" t="s">
        <v>258</v>
      </c>
      <c r="B134" s="8" t="s">
        <v>259</v>
      </c>
      <c r="C134" s="8">
        <v>1</v>
      </c>
      <c r="D134" s="8" t="s">
        <v>260</v>
      </c>
      <c r="E134" s="8" t="s">
        <v>260</v>
      </c>
      <c r="F134" s="8" t="s">
        <v>8</v>
      </c>
      <c r="G134" s="8" t="s">
        <v>258</v>
      </c>
      <c r="H134" t="s">
        <v>2506</v>
      </c>
      <c r="K134" t="s">
        <v>913</v>
      </c>
      <c r="T134" t="s">
        <v>1598</v>
      </c>
      <c r="W134" t="s">
        <v>1873</v>
      </c>
      <c r="X134" t="s">
        <v>1649</v>
      </c>
      <c r="Y134" t="s">
        <v>1598</v>
      </c>
      <c r="AA134" s="8">
        <v>525</v>
      </c>
      <c r="AB134" s="8">
        <v>20</v>
      </c>
      <c r="AC134" t="str">
        <f t="shared" si="11"/>
        <v/>
      </c>
      <c r="AE134" t="str">
        <f t="shared" si="12"/>
        <v/>
      </c>
      <c r="AI134" t="str">
        <f t="shared" si="13"/>
        <v/>
      </c>
      <c r="AJ134" t="str">
        <f t="shared" si="14"/>
        <v/>
      </c>
      <c r="AN134" t="str">
        <f>IF(AM134&lt;&gt;"",CONCATENATE(AC134," &amp; ",SUBSTITUTE(AJ134,","," ")," &amp; ",SUBSTITUTE(AF134,"."," ")," &amp; ",AL134," &amp; ",AM134," \\"),"")</f>
        <v/>
      </c>
    </row>
    <row r="135" spans="1:40" ht="15" x14ac:dyDescent="0.25">
      <c r="A135" t="s">
        <v>2111</v>
      </c>
      <c r="B135" s="17" t="s">
        <v>316</v>
      </c>
      <c r="C135">
        <v>10</v>
      </c>
      <c r="D135" t="s">
        <v>965</v>
      </c>
      <c r="E135" t="s">
        <v>966</v>
      </c>
      <c r="G135" t="s">
        <v>2111</v>
      </c>
      <c r="H135" t="s">
        <v>830</v>
      </c>
      <c r="I135" t="s">
        <v>1952</v>
      </c>
      <c r="J135" t="s">
        <v>969</v>
      </c>
      <c r="K135" t="s">
        <v>897</v>
      </c>
      <c r="L135" t="s">
        <v>967</v>
      </c>
      <c r="M135" t="s">
        <v>1887</v>
      </c>
      <c r="N135" t="s">
        <v>968</v>
      </c>
      <c r="O135" t="s">
        <v>830</v>
      </c>
      <c r="P135" t="s">
        <v>2123</v>
      </c>
      <c r="Q135" t="s">
        <v>830</v>
      </c>
      <c r="T135" t="s">
        <v>830</v>
      </c>
      <c r="U135" t="s">
        <v>830</v>
      </c>
      <c r="W135" t="s">
        <v>2110</v>
      </c>
      <c r="X135" t="s">
        <v>2125</v>
      </c>
      <c r="Y135" t="s">
        <v>830</v>
      </c>
      <c r="Z135">
        <v>1</v>
      </c>
      <c r="AA135">
        <v>2094</v>
      </c>
      <c r="AB135">
        <v>23.927</v>
      </c>
      <c r="AC135" t="str">
        <f t="shared" si="11"/>
        <v>FASMEV</v>
      </c>
      <c r="AD135" t="s">
        <v>2960</v>
      </c>
      <c r="AE135" t="str">
        <f t="shared" si="12"/>
        <v>BTXXIX</v>
      </c>
      <c r="AF135" t="s">
        <v>2961</v>
      </c>
      <c r="AG135" s="15" t="s">
        <v>2894</v>
      </c>
      <c r="AH135" t="s">
        <v>2884</v>
      </c>
      <c r="AI135" t="str">
        <f t="shared" si="13"/>
        <v>CSD,version,6.01</v>
      </c>
      <c r="AJ135" t="str">
        <f t="shared" si="14"/>
        <v>C8,H9,N1,O2</v>
      </c>
      <c r="AK135" t="s">
        <v>3059</v>
      </c>
      <c r="AL135">
        <v>1</v>
      </c>
      <c r="AM135">
        <v>1</v>
      </c>
      <c r="AN135" t="str">
        <f>IF(AM135&lt;&gt;"",CONCATENATE(AC135," &amp; \ce{",SUBSTITUTE(AJ135,","," "),"} &amp; ",SUBSTITUTE(AF135,"."," ")," &amp; ",AL135," &amp; ",AM135," \\"),"")</f>
        <v>FASMEV &amp; \ce{C8 H9 N1 O2} &amp; Methyl Anthranilate (Blind Test XXIX) &amp; 1 &amp; 1 \\</v>
      </c>
    </row>
    <row r="136" spans="1:40" ht="15" x14ac:dyDescent="0.25">
      <c r="A136" t="s">
        <v>261</v>
      </c>
      <c r="B136" s="17" t="s">
        <v>3440</v>
      </c>
      <c r="C136">
        <v>20</v>
      </c>
      <c r="D136" t="s">
        <v>262</v>
      </c>
      <c r="E136" t="s">
        <v>263</v>
      </c>
      <c r="F136" t="s">
        <v>8</v>
      </c>
      <c r="G136" t="s">
        <v>261</v>
      </c>
      <c r="H136" t="s">
        <v>830</v>
      </c>
      <c r="I136" t="s">
        <v>2385</v>
      </c>
      <c r="J136" t="s">
        <v>1124</v>
      </c>
      <c r="K136" t="s">
        <v>853</v>
      </c>
      <c r="L136" t="s">
        <v>2233</v>
      </c>
      <c r="M136" t="s">
        <v>876</v>
      </c>
      <c r="N136" t="s">
        <v>1876</v>
      </c>
      <c r="O136" t="s">
        <v>830</v>
      </c>
      <c r="P136" t="s">
        <v>2678</v>
      </c>
      <c r="Q136" t="s">
        <v>830</v>
      </c>
      <c r="T136" t="s">
        <v>830</v>
      </c>
      <c r="U136" t="s">
        <v>830</v>
      </c>
      <c r="W136" t="s">
        <v>2653</v>
      </c>
      <c r="X136" t="s">
        <v>2679</v>
      </c>
      <c r="Y136" t="s">
        <v>830</v>
      </c>
      <c r="Z136">
        <v>1</v>
      </c>
      <c r="AA136">
        <v>1535</v>
      </c>
      <c r="AB136">
        <v>39.74</v>
      </c>
      <c r="AC136" t="str">
        <f t="shared" si="11"/>
        <v>FINVAZ</v>
      </c>
      <c r="AD136" t="s">
        <v>3260</v>
      </c>
      <c r="AE136" t="str">
        <f t="shared" si="12"/>
        <v>AmantadineHydrochloride</v>
      </c>
      <c r="AF136" t="s">
        <v>3259</v>
      </c>
      <c r="AG136" s="15" t="s">
        <v>3132</v>
      </c>
      <c r="AH136" t="s">
        <v>2884</v>
      </c>
      <c r="AI136" t="str">
        <f t="shared" si="13"/>
        <v>CSD,version,6.01,with,Feb,2026,update</v>
      </c>
      <c r="AJ136" t="str">
        <f t="shared" si="14"/>
        <v>C10,H18,N1,+,.,Cl1,-</v>
      </c>
      <c r="AL136">
        <v>1</v>
      </c>
      <c r="AM136">
        <v>1</v>
      </c>
      <c r="AN136" t="str">
        <f>IF(AM136&lt;&gt;"",CONCATENATE(AC136," &amp; \ce{",SUBSTITUTE(AJ136,","," "),"} &amp; ",SUBSTITUTE(AF136,"."," ")," &amp; ",AL136," &amp; ",AM136," \\"),"")</f>
        <v>FINVAZ &amp; \ce{C10 H18 N1 + . Cl1 -} &amp; Amantadine Hydrochloride &amp; 1 &amp; 1 \\</v>
      </c>
    </row>
    <row r="137" spans="1:40" x14ac:dyDescent="0.2">
      <c r="A137" s="4" t="s">
        <v>1063</v>
      </c>
      <c r="B137" t="s">
        <v>248</v>
      </c>
      <c r="C137">
        <v>10</v>
      </c>
      <c r="D137" t="s">
        <v>249</v>
      </c>
      <c r="E137" t="s">
        <v>250</v>
      </c>
      <c r="G137" s="4" t="s">
        <v>1063</v>
      </c>
      <c r="H137" t="s">
        <v>830</v>
      </c>
      <c r="I137" t="s">
        <v>2385</v>
      </c>
      <c r="J137" t="s">
        <v>1390</v>
      </c>
      <c r="K137" t="s">
        <v>898</v>
      </c>
      <c r="L137" t="s">
        <v>2348</v>
      </c>
      <c r="M137" t="s">
        <v>887</v>
      </c>
      <c r="N137">
        <v>2012</v>
      </c>
      <c r="O137" t="s">
        <v>830</v>
      </c>
      <c r="P137" t="s">
        <v>887</v>
      </c>
      <c r="Q137" t="s">
        <v>830</v>
      </c>
      <c r="T137" t="s">
        <v>830</v>
      </c>
      <c r="U137" t="s">
        <v>830</v>
      </c>
      <c r="W137" t="s">
        <v>2343</v>
      </c>
      <c r="X137" t="s">
        <v>2361</v>
      </c>
      <c r="Y137" t="s">
        <v>830</v>
      </c>
      <c r="Z137">
        <v>0</v>
      </c>
      <c r="AA137">
        <v>4971</v>
      </c>
      <c r="AB137">
        <v>60</v>
      </c>
      <c r="AC137" t="str">
        <f t="shared" si="11"/>
        <v>FOCWOL</v>
      </c>
      <c r="AD137" t="s">
        <v>3255</v>
      </c>
      <c r="AE137" t="str">
        <f t="shared" si="12"/>
        <v>LY2806920</v>
      </c>
      <c r="AF137" t="str">
        <f>AE137</f>
        <v>LY2806920</v>
      </c>
      <c r="AG137" s="15" t="s">
        <v>2919</v>
      </c>
      <c r="AH137" t="s">
        <v>2923</v>
      </c>
      <c r="AI137" t="str">
        <f t="shared" si="13"/>
        <v>CSD,version,6.01,with,Feb,2026,update</v>
      </c>
      <c r="AJ137" t="str">
        <f t="shared" si="14"/>
        <v>C16,H21,N3,O3</v>
      </c>
      <c r="AL137">
        <v>1</v>
      </c>
      <c r="AM137">
        <v>3</v>
      </c>
      <c r="AN137" t="str">
        <f>IF(AM137&lt;&gt;"",CONCATENATE(AC137," &amp; \ce{",SUBSTITUTE(AJ137,","," "),"} &amp; ",SUBSTITUTE(AF137,"."," ")," &amp; ",AL137," &amp; ",AM137," \\"),"")</f>
        <v>FOCWOL &amp; \ce{C16 H21 N3 O3} &amp; LY2806920 &amp; 1 &amp; 3 \\</v>
      </c>
    </row>
    <row r="138" spans="1:40" x14ac:dyDescent="0.2">
      <c r="A138" s="4" t="s">
        <v>1063</v>
      </c>
      <c r="B138" t="s">
        <v>248</v>
      </c>
      <c r="C138">
        <v>11</v>
      </c>
      <c r="D138" t="s">
        <v>249</v>
      </c>
      <c r="E138" t="s">
        <v>250</v>
      </c>
      <c r="G138" s="4" t="s">
        <v>1063</v>
      </c>
      <c r="H138" t="s">
        <v>830</v>
      </c>
      <c r="I138" t="s">
        <v>2385</v>
      </c>
      <c r="J138" t="s">
        <v>1389</v>
      </c>
      <c r="K138" t="s">
        <v>898</v>
      </c>
      <c r="L138" t="s">
        <v>2349</v>
      </c>
      <c r="M138" t="s">
        <v>887</v>
      </c>
      <c r="N138">
        <v>2012</v>
      </c>
      <c r="O138" t="s">
        <v>830</v>
      </c>
      <c r="P138" t="s">
        <v>887</v>
      </c>
      <c r="Q138" t="s">
        <v>830</v>
      </c>
      <c r="T138" t="s">
        <v>830</v>
      </c>
      <c r="U138" t="s">
        <v>830</v>
      </c>
      <c r="W138" t="s">
        <v>2343</v>
      </c>
      <c r="X138" t="s">
        <v>2362</v>
      </c>
      <c r="Y138" t="s">
        <v>830</v>
      </c>
      <c r="Z138">
        <v>1</v>
      </c>
      <c r="AA138">
        <v>596</v>
      </c>
      <c r="AB138">
        <v>40</v>
      </c>
      <c r="AC138" t="str">
        <f t="shared" si="11"/>
        <v/>
      </c>
      <c r="AE138" t="str">
        <f t="shared" si="12"/>
        <v/>
      </c>
      <c r="AI138" t="str">
        <f t="shared" si="13"/>
        <v/>
      </c>
      <c r="AJ138" t="str">
        <f t="shared" si="14"/>
        <v/>
      </c>
      <c r="AN138" t="str">
        <f>IF(AM138&lt;&gt;"",CONCATENATE(AC138," &amp; ",SUBSTITUTE(AJ138,","," ")," &amp; ",SUBSTITUTE(AF138,"."," ")," &amp; ",AL138," &amp; ",AM138," \\"),"")</f>
        <v/>
      </c>
    </row>
    <row r="139" spans="1:40" x14ac:dyDescent="0.2">
      <c r="A139" s="4" t="s">
        <v>1063</v>
      </c>
      <c r="B139" t="s">
        <v>248</v>
      </c>
      <c r="C139">
        <v>30</v>
      </c>
      <c r="D139" t="s">
        <v>249</v>
      </c>
      <c r="E139" t="s">
        <v>250</v>
      </c>
      <c r="G139" s="4" t="s">
        <v>1063</v>
      </c>
      <c r="H139" t="s">
        <v>830</v>
      </c>
      <c r="I139" t="s">
        <v>2385</v>
      </c>
      <c r="J139" t="s">
        <v>1392</v>
      </c>
      <c r="K139" t="s">
        <v>898</v>
      </c>
      <c r="L139" t="s">
        <v>1632</v>
      </c>
      <c r="M139" t="s">
        <v>2350</v>
      </c>
      <c r="N139">
        <v>2012</v>
      </c>
      <c r="O139" t="s">
        <v>830</v>
      </c>
      <c r="P139" t="s">
        <v>2347</v>
      </c>
      <c r="Q139" t="s">
        <v>830</v>
      </c>
      <c r="T139" t="s">
        <v>830</v>
      </c>
      <c r="U139" t="s">
        <v>830</v>
      </c>
      <c r="W139" t="s">
        <v>2343</v>
      </c>
      <c r="X139" t="s">
        <v>2363</v>
      </c>
      <c r="Y139" t="s">
        <v>830</v>
      </c>
      <c r="Z139">
        <v>1</v>
      </c>
      <c r="AA139">
        <v>193</v>
      </c>
      <c r="AB139">
        <v>22.606000000000002</v>
      </c>
      <c r="AC139" t="str">
        <f t="shared" si="11"/>
        <v/>
      </c>
      <c r="AE139" t="str">
        <f t="shared" si="12"/>
        <v/>
      </c>
      <c r="AI139" t="str">
        <f t="shared" si="13"/>
        <v/>
      </c>
      <c r="AJ139" t="str">
        <f t="shared" si="14"/>
        <v/>
      </c>
      <c r="AN139" t="str">
        <f>IF(AM139&lt;&gt;"",CONCATENATE(AC139," &amp; ",SUBSTITUTE(AJ139,","," ")," &amp; ",SUBSTITUTE(AF139,"."," ")," &amp; ",AL139," &amp; ",AM139," \\"),"")</f>
        <v/>
      </c>
    </row>
    <row r="140" spans="1:40" x14ac:dyDescent="0.2">
      <c r="A140" s="4" t="s">
        <v>1064</v>
      </c>
      <c r="B140" t="s">
        <v>251</v>
      </c>
      <c r="C140">
        <v>10</v>
      </c>
      <c r="D140" t="s">
        <v>252</v>
      </c>
      <c r="E140" t="s">
        <v>253</v>
      </c>
      <c r="G140" s="4" t="s">
        <v>2351</v>
      </c>
      <c r="H140" t="s">
        <v>830</v>
      </c>
      <c r="I140" t="s">
        <v>2385</v>
      </c>
      <c r="J140" t="s">
        <v>1387</v>
      </c>
      <c r="K140" t="s">
        <v>898</v>
      </c>
      <c r="L140" t="s">
        <v>2348</v>
      </c>
      <c r="M140" t="s">
        <v>887</v>
      </c>
      <c r="N140">
        <v>2012</v>
      </c>
      <c r="O140" t="s">
        <v>830</v>
      </c>
      <c r="P140" t="s">
        <v>887</v>
      </c>
      <c r="Q140" t="s">
        <v>830</v>
      </c>
      <c r="T140" t="s">
        <v>830</v>
      </c>
      <c r="U140" t="s">
        <v>830</v>
      </c>
      <c r="W140" t="s">
        <v>2343</v>
      </c>
      <c r="X140" t="s">
        <v>2360</v>
      </c>
      <c r="Y140" t="s">
        <v>830</v>
      </c>
      <c r="Z140">
        <v>0</v>
      </c>
      <c r="AA140">
        <v>1723</v>
      </c>
      <c r="AB140">
        <v>24.521000000000001</v>
      </c>
      <c r="AC140" t="str">
        <f t="shared" si="11"/>
        <v>FOCWUR</v>
      </c>
      <c r="AD140" t="s">
        <v>3257</v>
      </c>
      <c r="AE140" t="str">
        <f t="shared" si="12"/>
        <v>LY2624803</v>
      </c>
      <c r="AF140" t="str">
        <f>AE140</f>
        <v>LY2624803</v>
      </c>
      <c r="AG140" s="15" t="s">
        <v>2919</v>
      </c>
      <c r="AH140" t="s">
        <v>2923</v>
      </c>
      <c r="AI140" t="str">
        <f t="shared" si="13"/>
        <v>CSD,version,6.01,with,Feb,2026,update</v>
      </c>
      <c r="AJ140" t="str">
        <f t="shared" si="14"/>
        <v>C22,H25,N3,O3</v>
      </c>
      <c r="AK140" t="s">
        <v>3417</v>
      </c>
      <c r="AL140">
        <v>1</v>
      </c>
      <c r="AM140">
        <v>3</v>
      </c>
      <c r="AN140" t="str">
        <f>IF(AM140&lt;&gt;"",CONCATENATE(AC140," &amp; \ce{",SUBSTITUTE(AJ140,","," "),"} &amp; ",SUBSTITUTE(AF140,"."," ")," &amp; ",AL140," &amp; ",AM140," \\"),"")</f>
        <v>FOCWUR &amp; \ce{C22 H25 N3 O3} &amp; LY2624803 &amp; 1 &amp; 3 \\</v>
      </c>
    </row>
    <row r="141" spans="1:40" x14ac:dyDescent="0.2">
      <c r="A141" s="4" t="s">
        <v>1064</v>
      </c>
      <c r="B141" t="s">
        <v>251</v>
      </c>
      <c r="C141">
        <v>11</v>
      </c>
      <c r="D141" t="s">
        <v>252</v>
      </c>
      <c r="E141" t="s">
        <v>253</v>
      </c>
      <c r="G141" s="4" t="s">
        <v>2351</v>
      </c>
      <c r="H141" t="s">
        <v>830</v>
      </c>
      <c r="I141" t="s">
        <v>2385</v>
      </c>
      <c r="J141" t="s">
        <v>1386</v>
      </c>
      <c r="K141" t="s">
        <v>898</v>
      </c>
      <c r="L141" t="s">
        <v>2349</v>
      </c>
      <c r="M141" t="s">
        <v>887</v>
      </c>
      <c r="N141">
        <v>2012</v>
      </c>
      <c r="O141" t="s">
        <v>830</v>
      </c>
      <c r="P141" t="s">
        <v>887</v>
      </c>
      <c r="Q141" t="s">
        <v>830</v>
      </c>
      <c r="T141" t="s">
        <v>830</v>
      </c>
      <c r="U141" t="s">
        <v>830</v>
      </c>
      <c r="W141" t="s">
        <v>2343</v>
      </c>
      <c r="X141" t="s">
        <v>2359</v>
      </c>
      <c r="Y141" t="s">
        <v>830</v>
      </c>
      <c r="Z141">
        <v>2</v>
      </c>
      <c r="AA141">
        <v>581</v>
      </c>
      <c r="AB141">
        <v>45.893000000000001</v>
      </c>
      <c r="AC141" t="str">
        <f t="shared" si="11"/>
        <v/>
      </c>
      <c r="AE141" t="str">
        <f t="shared" si="12"/>
        <v/>
      </c>
      <c r="AI141" t="str">
        <f t="shared" si="13"/>
        <v/>
      </c>
      <c r="AJ141" t="str">
        <f t="shared" si="14"/>
        <v/>
      </c>
      <c r="AN141" t="str">
        <f>IF(AM141&lt;&gt;"",CONCATENATE(AC141," &amp; ",SUBSTITUTE(AJ141,","," ")," &amp; ",SUBSTITUTE(AF141,"."," ")," &amp; ",AL141," &amp; ",AM141," \\"),"")</f>
        <v/>
      </c>
    </row>
    <row r="142" spans="1:40" x14ac:dyDescent="0.2">
      <c r="A142" s="4" t="s">
        <v>1064</v>
      </c>
      <c r="B142" t="s">
        <v>251</v>
      </c>
      <c r="C142">
        <v>30</v>
      </c>
      <c r="D142" t="s">
        <v>252</v>
      </c>
      <c r="E142" t="s">
        <v>253</v>
      </c>
      <c r="G142" s="4" t="s">
        <v>2351</v>
      </c>
      <c r="H142" t="s">
        <v>830</v>
      </c>
      <c r="I142" t="s">
        <v>2385</v>
      </c>
      <c r="J142" t="s">
        <v>1388</v>
      </c>
      <c r="K142" t="s">
        <v>898</v>
      </c>
      <c r="L142" t="s">
        <v>1632</v>
      </c>
      <c r="M142" t="s">
        <v>2350</v>
      </c>
      <c r="N142">
        <v>2012</v>
      </c>
      <c r="O142" t="s">
        <v>830</v>
      </c>
      <c r="P142" t="s">
        <v>2347</v>
      </c>
      <c r="Q142" t="s">
        <v>830</v>
      </c>
      <c r="T142" t="s">
        <v>830</v>
      </c>
      <c r="U142" t="s">
        <v>830</v>
      </c>
      <c r="W142" t="s">
        <v>2343</v>
      </c>
      <c r="X142" t="s">
        <v>2358</v>
      </c>
      <c r="Y142" t="s">
        <v>830</v>
      </c>
      <c r="Z142">
        <v>2</v>
      </c>
      <c r="AA142">
        <v>171</v>
      </c>
      <c r="AB142">
        <v>24.341999999999999</v>
      </c>
      <c r="AC142" t="str">
        <f t="shared" si="11"/>
        <v/>
      </c>
      <c r="AE142" t="str">
        <f t="shared" si="12"/>
        <v/>
      </c>
      <c r="AI142" t="str">
        <f t="shared" si="13"/>
        <v/>
      </c>
      <c r="AJ142" t="str">
        <f t="shared" si="14"/>
        <v/>
      </c>
      <c r="AN142" t="str">
        <f>IF(AM142&lt;&gt;"",CONCATENATE(AC142," &amp; ",SUBSTITUTE(AJ142,","," ")," &amp; ",SUBSTITUTE(AF142,"."," ")," &amp; ",AL142," &amp; ",AM142," \\"),"")</f>
        <v/>
      </c>
    </row>
    <row r="143" spans="1:40" ht="15" x14ac:dyDescent="0.25">
      <c r="A143" t="s">
        <v>264</v>
      </c>
      <c r="B143" s="17" t="s">
        <v>3013</v>
      </c>
      <c r="C143">
        <v>10</v>
      </c>
      <c r="D143" t="s">
        <v>265</v>
      </c>
      <c r="E143" t="s">
        <v>266</v>
      </c>
      <c r="F143" t="s">
        <v>266</v>
      </c>
      <c r="G143" t="s">
        <v>267</v>
      </c>
      <c r="H143" t="s">
        <v>830</v>
      </c>
      <c r="I143" t="s">
        <v>1477</v>
      </c>
      <c r="J143" t="s">
        <v>1496</v>
      </c>
      <c r="K143" t="s">
        <v>863</v>
      </c>
      <c r="L143" t="s">
        <v>1518</v>
      </c>
      <c r="M143" t="s">
        <v>887</v>
      </c>
      <c r="N143">
        <v>2018</v>
      </c>
      <c r="O143" t="s">
        <v>830</v>
      </c>
      <c r="P143" t="s">
        <v>887</v>
      </c>
      <c r="Q143" t="s">
        <v>830</v>
      </c>
      <c r="T143" t="s">
        <v>830</v>
      </c>
      <c r="U143" t="s">
        <v>830</v>
      </c>
      <c r="W143" t="s">
        <v>1772</v>
      </c>
      <c r="X143" t="s">
        <v>1776</v>
      </c>
      <c r="Y143" t="s">
        <v>830</v>
      </c>
      <c r="Z143">
        <v>6</v>
      </c>
      <c r="AA143">
        <v>848</v>
      </c>
      <c r="AB143">
        <v>30</v>
      </c>
      <c r="AC143" t="str">
        <f t="shared" si="11"/>
        <v>FPAMCA</v>
      </c>
      <c r="AD143" t="s">
        <v>3077</v>
      </c>
      <c r="AE143" t="str">
        <f t="shared" si="12"/>
        <v>FlufenamicAcid</v>
      </c>
      <c r="AF143" t="s">
        <v>3446</v>
      </c>
      <c r="AG143" s="15" t="s">
        <v>3081</v>
      </c>
      <c r="AH143" t="s">
        <v>3076</v>
      </c>
      <c r="AI143" t="str">
        <f t="shared" si="13"/>
        <v>CSD,version,5.43,with,Mar,,Jun,,Sep,and,Nov,2022,updates</v>
      </c>
      <c r="AJ143" t="str">
        <f t="shared" si="14"/>
        <v>C14,H10,N1,O2,F3</v>
      </c>
      <c r="AK143" t="s">
        <v>3057</v>
      </c>
      <c r="AL143">
        <v>1</v>
      </c>
      <c r="AM143">
        <v>3</v>
      </c>
      <c r="AN143" t="str">
        <f>IF(AM143&lt;&gt;"",CONCATENATE(AC143," &amp; \ce{",SUBSTITUTE(AJ143,","," "),"} &amp; ",SUBSTITUTE(AF143,"."," ")," &amp; ",AL143," &amp; ",AM143," \\"),"")</f>
        <v>FPAMCA &amp; \ce{C14 H10 N1 O2 F3} &amp; Flufenamic Acid &amp; 1 &amp; 3 \\</v>
      </c>
    </row>
    <row r="144" spans="1:40" ht="15" x14ac:dyDescent="0.25">
      <c r="A144" t="s">
        <v>264</v>
      </c>
      <c r="B144" s="17" t="s">
        <v>3013</v>
      </c>
      <c r="C144">
        <v>11</v>
      </c>
      <c r="D144" t="s">
        <v>265</v>
      </c>
      <c r="E144" t="s">
        <v>266</v>
      </c>
      <c r="F144" t="s">
        <v>266</v>
      </c>
      <c r="G144" t="s">
        <v>1614</v>
      </c>
      <c r="H144" t="s">
        <v>830</v>
      </c>
      <c r="I144" t="s">
        <v>1477</v>
      </c>
      <c r="J144" t="s">
        <v>1615</v>
      </c>
      <c r="K144" t="s">
        <v>839</v>
      </c>
      <c r="L144" t="s">
        <v>1616</v>
      </c>
      <c r="M144" t="s">
        <v>1586</v>
      </c>
      <c r="N144">
        <v>2024</v>
      </c>
      <c r="O144" t="s">
        <v>830</v>
      </c>
      <c r="P144" t="s">
        <v>887</v>
      </c>
      <c r="Q144" t="s">
        <v>830</v>
      </c>
      <c r="R144" t="s">
        <v>830</v>
      </c>
      <c r="S144" t="s">
        <v>830</v>
      </c>
      <c r="T144" t="s">
        <v>830</v>
      </c>
      <c r="U144" t="s">
        <v>830</v>
      </c>
      <c r="W144" t="s">
        <v>1778</v>
      </c>
      <c r="X144" t="s">
        <v>1779</v>
      </c>
      <c r="Y144" t="s">
        <v>830</v>
      </c>
      <c r="Z144">
        <v>7</v>
      </c>
      <c r="AA144">
        <v>15</v>
      </c>
      <c r="AB144">
        <v>18.783000000000001</v>
      </c>
      <c r="AC144" t="str">
        <f t="shared" si="11"/>
        <v/>
      </c>
      <c r="AE144" t="str">
        <f t="shared" si="12"/>
        <v/>
      </c>
      <c r="AI144" t="str">
        <f t="shared" si="13"/>
        <v/>
      </c>
      <c r="AJ144" t="str">
        <f t="shared" si="14"/>
        <v/>
      </c>
      <c r="AN144" t="str">
        <f>IF(AM144&lt;&gt;"",CONCATENATE(AC144," &amp; ",SUBSTITUTE(AJ144,","," ")," &amp; ",SUBSTITUTE(AF144,"."," ")," &amp; ",AL144," &amp; ",AM144," \\"),"")</f>
        <v/>
      </c>
    </row>
    <row r="145" spans="1:40" ht="15" x14ac:dyDescent="0.25">
      <c r="A145" t="s">
        <v>264</v>
      </c>
      <c r="B145" s="17" t="s">
        <v>3013</v>
      </c>
      <c r="C145">
        <v>30</v>
      </c>
      <c r="D145" t="s">
        <v>265</v>
      </c>
      <c r="E145" t="s">
        <v>266</v>
      </c>
      <c r="F145" t="s">
        <v>266</v>
      </c>
      <c r="G145" t="s">
        <v>267</v>
      </c>
      <c r="H145" t="s">
        <v>830</v>
      </c>
      <c r="I145" t="s">
        <v>1477</v>
      </c>
      <c r="J145" t="s">
        <v>1497</v>
      </c>
      <c r="K145" t="s">
        <v>863</v>
      </c>
      <c r="L145" t="s">
        <v>1484</v>
      </c>
      <c r="M145" t="s">
        <v>914</v>
      </c>
      <c r="N145">
        <v>2018</v>
      </c>
      <c r="O145" t="s">
        <v>830</v>
      </c>
      <c r="P145" t="s">
        <v>1519</v>
      </c>
      <c r="Q145" t="s">
        <v>830</v>
      </c>
      <c r="T145" t="s">
        <v>830</v>
      </c>
      <c r="U145" t="s">
        <v>830</v>
      </c>
      <c r="W145" t="s">
        <v>1772</v>
      </c>
      <c r="X145" t="s">
        <v>1777</v>
      </c>
      <c r="Y145" t="s">
        <v>830</v>
      </c>
      <c r="Z145">
        <v>6</v>
      </c>
      <c r="AA145">
        <v>846</v>
      </c>
      <c r="AB145">
        <v>36.415999999999997</v>
      </c>
      <c r="AC145" t="str">
        <f t="shared" si="11"/>
        <v/>
      </c>
      <c r="AE145" t="str">
        <f t="shared" si="12"/>
        <v/>
      </c>
      <c r="AI145" t="str">
        <f t="shared" si="13"/>
        <v/>
      </c>
      <c r="AJ145" t="str">
        <f t="shared" si="14"/>
        <v/>
      </c>
      <c r="AN145" t="str">
        <f>IF(AM145&lt;&gt;"",CONCATENATE(AC145," &amp; ",SUBSTITUTE(AJ145,","," ")," &amp; ",SUBSTITUTE(AF145,"."," ")," &amp; ",AL145," &amp; ",AM145," \\"),"")</f>
        <v/>
      </c>
    </row>
    <row r="146" spans="1:40" ht="15" x14ac:dyDescent="0.25">
      <c r="A146" t="s">
        <v>268</v>
      </c>
      <c r="B146" s="17" t="s">
        <v>3014</v>
      </c>
      <c r="C146">
        <v>0</v>
      </c>
      <c r="D146" t="s">
        <v>269</v>
      </c>
      <c r="E146" t="s">
        <v>270</v>
      </c>
      <c r="F146" t="s">
        <v>271</v>
      </c>
      <c r="G146" t="s">
        <v>1901</v>
      </c>
      <c r="H146" t="s">
        <v>830</v>
      </c>
      <c r="I146" t="s">
        <v>1543</v>
      </c>
      <c r="J146" t="s">
        <v>1194</v>
      </c>
      <c r="K146" t="s">
        <v>845</v>
      </c>
      <c r="L146" t="s">
        <v>948</v>
      </c>
      <c r="M146" t="s">
        <v>3422</v>
      </c>
      <c r="N146" t="s">
        <v>886</v>
      </c>
      <c r="O146" t="s">
        <v>830</v>
      </c>
      <c r="P146" t="s">
        <v>1604</v>
      </c>
      <c r="Q146" t="s">
        <v>830</v>
      </c>
      <c r="R146" t="s">
        <v>830</v>
      </c>
      <c r="S146" t="s">
        <v>1605</v>
      </c>
      <c r="T146" t="s">
        <v>830</v>
      </c>
      <c r="U146" t="s">
        <v>830</v>
      </c>
      <c r="W146" t="s">
        <v>1897</v>
      </c>
      <c r="X146" t="s">
        <v>1900</v>
      </c>
      <c r="Y146" t="s">
        <v>830</v>
      </c>
      <c r="Z146">
        <v>2</v>
      </c>
      <c r="AA146">
        <v>62</v>
      </c>
      <c r="AB146">
        <v>7.85</v>
      </c>
      <c r="AC146" t="str">
        <f t="shared" si="11"/>
        <v>FURACL</v>
      </c>
      <c r="AD146" t="s">
        <v>269</v>
      </c>
      <c r="AE146" t="str">
        <f t="shared" si="12"/>
        <v>Fluorouracil</v>
      </c>
      <c r="AF146" t="str">
        <f>AE146</f>
        <v>Fluorouracil</v>
      </c>
      <c r="AG146" s="15" t="s">
        <v>3070</v>
      </c>
      <c r="AH146" t="s">
        <v>3061</v>
      </c>
      <c r="AI146" t="str">
        <f t="shared" si="13"/>
        <v>CSD,version,5.45</v>
      </c>
      <c r="AJ146" t="str">
        <f t="shared" si="14"/>
        <v>C4,H3,N2,O2,F1</v>
      </c>
      <c r="AK146" t="s">
        <v>3057</v>
      </c>
      <c r="AL146">
        <v>1</v>
      </c>
      <c r="AM146">
        <v>1</v>
      </c>
      <c r="AN146" t="str">
        <f>IF(AM146&lt;&gt;"",CONCATENATE(AC146," &amp; \ce{",SUBSTITUTE(AJ146,","," "),"} &amp; ",SUBSTITUTE(AF146,"."," ")," &amp; ",AL146," &amp; ",AM146," \\"),"")</f>
        <v>FURACL &amp; \ce{C4 H3 N2 O2 F1} &amp; Fluorouracil &amp; 1 &amp; 1 \\</v>
      </c>
    </row>
    <row r="147" spans="1:40" x14ac:dyDescent="0.2">
      <c r="A147" t="s">
        <v>940</v>
      </c>
      <c r="B147" t="s">
        <v>941</v>
      </c>
      <c r="C147">
        <v>10</v>
      </c>
      <c r="D147" t="s">
        <v>942</v>
      </c>
      <c r="G147" t="s">
        <v>1979</v>
      </c>
      <c r="H147" t="s">
        <v>830</v>
      </c>
      <c r="I147" t="s">
        <v>1952</v>
      </c>
      <c r="J147" t="s">
        <v>1329</v>
      </c>
      <c r="K147" t="s">
        <v>847</v>
      </c>
      <c r="L147" t="s">
        <v>1982</v>
      </c>
      <c r="M147" t="s">
        <v>1981</v>
      </c>
      <c r="N147">
        <v>2016</v>
      </c>
      <c r="O147" t="s">
        <v>830</v>
      </c>
      <c r="P147" t="s">
        <v>1980</v>
      </c>
      <c r="Q147" t="s">
        <v>830</v>
      </c>
      <c r="S147" t="s">
        <v>935</v>
      </c>
      <c r="T147" t="s">
        <v>830</v>
      </c>
      <c r="U147" t="s">
        <v>830</v>
      </c>
      <c r="W147" t="s">
        <v>1958</v>
      </c>
      <c r="X147" t="s">
        <v>1983</v>
      </c>
      <c r="Y147" t="s">
        <v>830</v>
      </c>
      <c r="Z147">
        <v>3</v>
      </c>
      <c r="AA147">
        <v>641</v>
      </c>
      <c r="AB147">
        <v>33.012999999999998</v>
      </c>
      <c r="AC147" t="str">
        <f t="shared" si="11"/>
        <v>GEHXEX</v>
      </c>
      <c r="AD147" t="s">
        <v>942</v>
      </c>
      <c r="AE147" t="str">
        <f t="shared" si="12"/>
        <v>Desloratadine</v>
      </c>
      <c r="AF147" t="str">
        <f>AE147</f>
        <v>Desloratadine</v>
      </c>
      <c r="AG147" s="15" t="s">
        <v>2885</v>
      </c>
      <c r="AH147" t="s">
        <v>3080</v>
      </c>
      <c r="AI147" t="str">
        <f t="shared" si="13"/>
        <v>CSD,version,6.01</v>
      </c>
      <c r="AJ147" t="str">
        <f t="shared" si="14"/>
        <v>C19,H19,N2,Cl1</v>
      </c>
      <c r="AK147" t="s">
        <v>3418</v>
      </c>
      <c r="AL147">
        <v>1</v>
      </c>
      <c r="AM147">
        <v>2</v>
      </c>
      <c r="AN147" t="str">
        <f>IF(AM147&lt;&gt;"",CONCATENATE(AC147," &amp; \ce{",SUBSTITUTE(AJ147,","," "),"} &amp; ",SUBSTITUTE(AF147,"."," ")," &amp; ",AL147," &amp; ",AM147," \\"),"")</f>
        <v>GEHXEX &amp; \ce{C19 H19 N2 Cl1} &amp; Desloratadine &amp; 1 &amp; 2 \\</v>
      </c>
    </row>
    <row r="148" spans="1:40" x14ac:dyDescent="0.2">
      <c r="A148" t="s">
        <v>940</v>
      </c>
      <c r="B148" t="s">
        <v>941</v>
      </c>
      <c r="C148">
        <v>30</v>
      </c>
      <c r="D148" t="s">
        <v>942</v>
      </c>
      <c r="G148" t="s">
        <v>1979</v>
      </c>
      <c r="H148" t="s">
        <v>830</v>
      </c>
      <c r="I148" t="s">
        <v>1952</v>
      </c>
      <c r="J148" t="s">
        <v>1330</v>
      </c>
      <c r="K148" t="s">
        <v>847</v>
      </c>
      <c r="L148" t="s">
        <v>1484</v>
      </c>
      <c r="M148" t="s">
        <v>891</v>
      </c>
      <c r="N148">
        <v>2019</v>
      </c>
      <c r="O148" t="s">
        <v>830</v>
      </c>
      <c r="P148" t="s">
        <v>891</v>
      </c>
      <c r="Q148" t="s">
        <v>830</v>
      </c>
      <c r="S148" t="s">
        <v>891</v>
      </c>
      <c r="T148" t="s">
        <v>830</v>
      </c>
      <c r="U148" t="s">
        <v>830</v>
      </c>
      <c r="W148" t="s">
        <v>1958</v>
      </c>
      <c r="X148" t="s">
        <v>1984</v>
      </c>
      <c r="Y148" t="s">
        <v>830</v>
      </c>
      <c r="Z148">
        <v>2</v>
      </c>
      <c r="AA148">
        <v>639</v>
      </c>
      <c r="AB148">
        <v>35</v>
      </c>
      <c r="AC148" t="str">
        <f t="shared" si="11"/>
        <v/>
      </c>
      <c r="AE148" t="str">
        <f t="shared" si="12"/>
        <v/>
      </c>
      <c r="AI148" t="str">
        <f t="shared" si="13"/>
        <v/>
      </c>
      <c r="AJ148" t="str">
        <f t="shared" si="14"/>
        <v/>
      </c>
      <c r="AN148" t="str">
        <f>IF(AM148&lt;&gt;"",CONCATENATE(AC148," &amp; ",SUBSTITUTE(AJ148,","," ")," &amp; ",SUBSTITUTE(AF148,"."," ")," &amp; ",AL148," &amp; ",AM148," \\"),"")</f>
        <v/>
      </c>
    </row>
    <row r="149" spans="1:40" x14ac:dyDescent="0.2">
      <c r="A149" t="s">
        <v>272</v>
      </c>
      <c r="B149" t="s">
        <v>273</v>
      </c>
      <c r="C149">
        <v>0</v>
      </c>
      <c r="D149" t="s">
        <v>274</v>
      </c>
      <c r="E149" t="s">
        <v>275</v>
      </c>
      <c r="F149" t="s">
        <v>8</v>
      </c>
      <c r="G149" t="s">
        <v>272</v>
      </c>
      <c r="H149" s="4" t="s">
        <v>830</v>
      </c>
      <c r="I149" t="s">
        <v>2385</v>
      </c>
      <c r="J149" t="s">
        <v>1242</v>
      </c>
      <c r="K149" s="4" t="s">
        <v>851</v>
      </c>
      <c r="L149" t="s">
        <v>1553</v>
      </c>
      <c r="M149" t="s">
        <v>3424</v>
      </c>
      <c r="N149">
        <v>2009</v>
      </c>
      <c r="O149" t="s">
        <v>830</v>
      </c>
      <c r="P149" t="s">
        <v>2794</v>
      </c>
      <c r="Q149" t="s">
        <v>830</v>
      </c>
      <c r="T149" t="s">
        <v>830</v>
      </c>
      <c r="U149" t="s">
        <v>830</v>
      </c>
      <c r="W149" t="s">
        <v>2836</v>
      </c>
      <c r="X149" t="s">
        <v>2795</v>
      </c>
      <c r="Y149" t="s">
        <v>830</v>
      </c>
      <c r="Z149">
        <v>1</v>
      </c>
      <c r="AA149">
        <v>564</v>
      </c>
      <c r="AB149">
        <v>39.26</v>
      </c>
      <c r="AC149" t="str">
        <f t="shared" si="11"/>
        <v>GIMREA</v>
      </c>
      <c r="AD149" t="s">
        <v>3179</v>
      </c>
      <c r="AE149" t="str">
        <f t="shared" si="12"/>
        <v>Formyluracil</v>
      </c>
      <c r="AF149" t="str">
        <f>AE149</f>
        <v>Formyluracil</v>
      </c>
      <c r="AG149" s="15" t="s">
        <v>2887</v>
      </c>
      <c r="AH149" t="s">
        <v>2884</v>
      </c>
      <c r="AI149" t="str">
        <f t="shared" si="13"/>
        <v>CSD,version,6.01,with,Feb,2026,update</v>
      </c>
      <c r="AJ149" t="str">
        <f t="shared" si="14"/>
        <v>C5,H4,N2,O3</v>
      </c>
      <c r="AL149">
        <v>1</v>
      </c>
      <c r="AM149">
        <v>1</v>
      </c>
      <c r="AN149" t="str">
        <f>IF(AM149&lt;&gt;"",CONCATENATE(AC149," &amp; \ce{",SUBSTITUTE(AJ149,","," "),"} &amp; ",SUBSTITUTE(AF149,"."," ")," &amp; ",AL149," &amp; ",AM149," \\"),"")</f>
        <v>GIMREA &amp; \ce{C5 H4 N2 O3} &amp; Formyluracil &amp; 1 &amp; 1 \\</v>
      </c>
    </row>
    <row r="150" spans="1:40" x14ac:dyDescent="0.2">
      <c r="A150" t="s">
        <v>276</v>
      </c>
      <c r="B150" t="s">
        <v>226</v>
      </c>
      <c r="C150">
        <v>0</v>
      </c>
      <c r="D150" t="s">
        <v>277</v>
      </c>
      <c r="E150" t="s">
        <v>2232</v>
      </c>
      <c r="F150" t="s">
        <v>278</v>
      </c>
      <c r="G150" t="s">
        <v>279</v>
      </c>
      <c r="H150" t="s">
        <v>830</v>
      </c>
      <c r="I150" t="s">
        <v>1952</v>
      </c>
      <c r="J150" t="s">
        <v>1262</v>
      </c>
      <c r="K150" t="s">
        <v>839</v>
      </c>
      <c r="L150" t="s">
        <v>2224</v>
      </c>
      <c r="M150" t="s">
        <v>876</v>
      </c>
      <c r="N150">
        <v>2015</v>
      </c>
      <c r="O150" t="s">
        <v>830</v>
      </c>
      <c r="P150" t="s">
        <v>2229</v>
      </c>
      <c r="Q150" t="s">
        <v>830</v>
      </c>
      <c r="T150" t="s">
        <v>830</v>
      </c>
      <c r="U150" t="s">
        <v>830</v>
      </c>
      <c r="W150" t="s">
        <v>2250</v>
      </c>
      <c r="X150" t="s">
        <v>2231</v>
      </c>
      <c r="Y150" t="s">
        <v>830</v>
      </c>
      <c r="Z150">
        <v>2</v>
      </c>
      <c r="AA150">
        <v>332</v>
      </c>
      <c r="AB150">
        <v>42.103000000000002</v>
      </c>
      <c r="AC150" t="str">
        <f t="shared" si="11"/>
        <v>GLUCIT</v>
      </c>
      <c r="AD150" t="s">
        <v>277</v>
      </c>
      <c r="AE150" t="str">
        <f t="shared" si="12"/>
        <v>Sorbitol</v>
      </c>
      <c r="AF150" t="str">
        <f>AE150</f>
        <v>Sorbitol</v>
      </c>
      <c r="AG150" s="15" t="s">
        <v>2925</v>
      </c>
      <c r="AH150" t="s">
        <v>2884</v>
      </c>
      <c r="AI150" t="str">
        <f t="shared" si="13"/>
        <v>CSD,version,6.01</v>
      </c>
      <c r="AJ150" t="str">
        <f t="shared" si="14"/>
        <v>C6,H14,O6</v>
      </c>
      <c r="AL150">
        <v>1</v>
      </c>
      <c r="AM150">
        <v>1</v>
      </c>
      <c r="AN150" t="str">
        <f>IF(AM150&lt;&gt;"",CONCATENATE(AC150," &amp; \ce{",SUBSTITUTE(AJ150,","," "),"} &amp; ",SUBSTITUTE(AF150,"."," ")," &amp; ",AL150," &amp; ",AM150," \\"),"")</f>
        <v>GLUCIT &amp; \ce{C6 H14 O6} &amp; Sorbitol &amp; 1 &amp; 1 \\</v>
      </c>
    </row>
    <row r="151" spans="1:40" x14ac:dyDescent="0.2">
      <c r="A151" t="s">
        <v>924</v>
      </c>
      <c r="B151" t="s">
        <v>925</v>
      </c>
      <c r="C151">
        <v>30</v>
      </c>
      <c r="D151" t="s">
        <v>926</v>
      </c>
      <c r="E151" t="s">
        <v>2207</v>
      </c>
      <c r="G151" t="s">
        <v>927</v>
      </c>
      <c r="H151" t="s">
        <v>830</v>
      </c>
      <c r="I151" t="s">
        <v>1952</v>
      </c>
      <c r="J151" t="s">
        <v>1344</v>
      </c>
      <c r="K151" t="s">
        <v>928</v>
      </c>
      <c r="L151" t="s">
        <v>2204</v>
      </c>
      <c r="M151" t="s">
        <v>929</v>
      </c>
      <c r="N151">
        <v>2019</v>
      </c>
      <c r="O151" t="s">
        <v>830</v>
      </c>
      <c r="P151" t="s">
        <v>2208</v>
      </c>
      <c r="Q151" t="s">
        <v>830</v>
      </c>
      <c r="T151" t="s">
        <v>830</v>
      </c>
      <c r="U151" t="s">
        <v>830</v>
      </c>
      <c r="W151" t="s">
        <v>2250</v>
      </c>
      <c r="X151" t="s">
        <v>2209</v>
      </c>
      <c r="Y151" t="s">
        <v>830</v>
      </c>
      <c r="Z151">
        <v>1</v>
      </c>
      <c r="AA151">
        <v>290</v>
      </c>
      <c r="AB151">
        <v>36.609000000000002</v>
      </c>
      <c r="AC151" t="str">
        <f t="shared" si="11"/>
        <v>GLUCSE</v>
      </c>
      <c r="AD151" t="s">
        <v>3261</v>
      </c>
      <c r="AE151" t="str">
        <f t="shared" si="12"/>
        <v>Glucose</v>
      </c>
      <c r="AF151" t="str">
        <f>AE151</f>
        <v>Glucose</v>
      </c>
      <c r="AG151" s="15" t="s">
        <v>2925</v>
      </c>
      <c r="AH151" t="s">
        <v>2884</v>
      </c>
      <c r="AI151" t="str">
        <f t="shared" si="13"/>
        <v>CSD,version,6.01</v>
      </c>
      <c r="AJ151" t="str">
        <f t="shared" si="14"/>
        <v>C6,H12,O6</v>
      </c>
      <c r="AL151">
        <v>1</v>
      </c>
      <c r="AM151">
        <v>1</v>
      </c>
      <c r="AN151" t="str">
        <f>IF(AM151&lt;&gt;"",CONCATENATE(AC151," &amp; \ce{",SUBSTITUTE(AJ151,","," "),"} &amp; ",SUBSTITUTE(AF151,"."," ")," &amp; ",AL151," &amp; ",AM151," \\"),"")</f>
        <v>GLUCSE &amp; \ce{C6 H12 O6} &amp; Glucose &amp; 1 &amp; 1 \\</v>
      </c>
    </row>
    <row r="152" spans="1:40" x14ac:dyDescent="0.2">
      <c r="A152" t="s">
        <v>280</v>
      </c>
      <c r="B152" t="s">
        <v>281</v>
      </c>
      <c r="C152">
        <v>0</v>
      </c>
      <c r="D152" t="s">
        <v>282</v>
      </c>
      <c r="E152" t="s">
        <v>283</v>
      </c>
      <c r="F152" t="s">
        <v>284</v>
      </c>
      <c r="G152" t="s">
        <v>280</v>
      </c>
      <c r="H152" t="s">
        <v>830</v>
      </c>
      <c r="I152" t="s">
        <v>2385</v>
      </c>
      <c r="J152" t="s">
        <v>1189</v>
      </c>
      <c r="K152" t="s">
        <v>2524</v>
      </c>
      <c r="L152" t="s">
        <v>1553</v>
      </c>
      <c r="M152" t="s">
        <v>876</v>
      </c>
      <c r="N152" t="s">
        <v>1876</v>
      </c>
      <c r="O152" t="s">
        <v>830</v>
      </c>
      <c r="P152" t="s">
        <v>891</v>
      </c>
      <c r="Q152" t="s">
        <v>830</v>
      </c>
      <c r="T152" t="s">
        <v>830</v>
      </c>
      <c r="U152" t="s">
        <v>830</v>
      </c>
      <c r="W152" t="s">
        <v>2526</v>
      </c>
      <c r="X152" t="s">
        <v>2554</v>
      </c>
      <c r="Y152" t="s">
        <v>830</v>
      </c>
      <c r="Z152">
        <v>1</v>
      </c>
      <c r="AA152">
        <v>46</v>
      </c>
      <c r="AB152">
        <v>11.73</v>
      </c>
      <c r="AC152" t="str">
        <f t="shared" si="11"/>
        <v>GODTIC</v>
      </c>
      <c r="AD152" t="s">
        <v>282</v>
      </c>
      <c r="AE152" t="str">
        <f t="shared" si="12"/>
        <v>Equilin</v>
      </c>
      <c r="AF152" t="str">
        <f>AE152</f>
        <v>Equilin</v>
      </c>
      <c r="AG152" s="15" t="s">
        <v>2889</v>
      </c>
      <c r="AH152" t="s">
        <v>2888</v>
      </c>
      <c r="AI152" t="str">
        <f t="shared" si="13"/>
        <v>CSD,version,6.01,with,Feb,2026,update</v>
      </c>
      <c r="AJ152" t="str">
        <f t="shared" si="14"/>
        <v>C18,H20,O2</v>
      </c>
      <c r="AL152">
        <v>1</v>
      </c>
      <c r="AM152">
        <v>2</v>
      </c>
      <c r="AN152" t="str">
        <f>IF(AM152&lt;&gt;"",CONCATENATE(AC152," &amp; \ce{",SUBSTITUTE(AJ152,","," "),"} &amp; ",SUBSTITUTE(AF152,"."," ")," &amp; ",AL152," &amp; ",AM152," \\"),"")</f>
        <v>GODTIC &amp; \ce{C18 H20 O2} &amp; Equilin &amp; 1 &amp; 2 \\</v>
      </c>
    </row>
    <row r="153" spans="1:40" x14ac:dyDescent="0.2">
      <c r="A153" t="s">
        <v>280</v>
      </c>
      <c r="B153" t="s">
        <v>281</v>
      </c>
      <c r="C153">
        <v>10</v>
      </c>
      <c r="D153" t="s">
        <v>282</v>
      </c>
      <c r="E153" t="s">
        <v>283</v>
      </c>
      <c r="F153" t="s">
        <v>284</v>
      </c>
      <c r="G153" t="s">
        <v>280</v>
      </c>
      <c r="H153" t="s">
        <v>830</v>
      </c>
      <c r="I153" t="s">
        <v>2385</v>
      </c>
      <c r="J153" t="s">
        <v>1192</v>
      </c>
      <c r="K153" t="s">
        <v>2524</v>
      </c>
      <c r="L153" t="s">
        <v>1663</v>
      </c>
      <c r="M153" t="s">
        <v>876</v>
      </c>
      <c r="N153" t="s">
        <v>1876</v>
      </c>
      <c r="O153" t="s">
        <v>830</v>
      </c>
      <c r="P153" t="s">
        <v>2552</v>
      </c>
      <c r="Q153" t="s">
        <v>830</v>
      </c>
      <c r="T153" t="s">
        <v>830</v>
      </c>
      <c r="U153" t="s">
        <v>830</v>
      </c>
      <c r="W153" t="s">
        <v>2526</v>
      </c>
      <c r="X153" t="s">
        <v>2553</v>
      </c>
      <c r="Y153" t="s">
        <v>830</v>
      </c>
      <c r="Z153">
        <v>1</v>
      </c>
      <c r="AA153">
        <v>10</v>
      </c>
      <c r="AB153">
        <v>9.31</v>
      </c>
      <c r="AC153" t="str">
        <f t="shared" si="11"/>
        <v/>
      </c>
      <c r="AE153" t="str">
        <f t="shared" si="12"/>
        <v/>
      </c>
      <c r="AI153" t="str">
        <f t="shared" si="13"/>
        <v/>
      </c>
      <c r="AJ153" t="str">
        <f t="shared" si="14"/>
        <v/>
      </c>
      <c r="AN153" t="str">
        <f>IF(AM153&lt;&gt;"",CONCATENATE(AC153," &amp; ",SUBSTITUTE(AJ153,","," ")," &amp; ",SUBSTITUTE(AF153,"."," ")," &amp; ",AL153," &amp; ",AM153," \\"),"")</f>
        <v/>
      </c>
    </row>
    <row r="154" spans="1:40" ht="15" x14ac:dyDescent="0.25">
      <c r="A154" t="s">
        <v>288</v>
      </c>
      <c r="B154" s="17" t="s">
        <v>3016</v>
      </c>
      <c r="C154">
        <v>0</v>
      </c>
      <c r="D154" t="s">
        <v>289</v>
      </c>
      <c r="E154" t="s">
        <v>290</v>
      </c>
      <c r="F154" t="s">
        <v>291</v>
      </c>
      <c r="G154" t="s">
        <v>2480</v>
      </c>
      <c r="H154" t="s">
        <v>830</v>
      </c>
      <c r="I154" t="s">
        <v>2385</v>
      </c>
      <c r="J154" t="s">
        <v>1164</v>
      </c>
      <c r="K154" t="s">
        <v>2524</v>
      </c>
      <c r="L154" t="s">
        <v>1553</v>
      </c>
      <c r="M154" s="4" t="s">
        <v>876</v>
      </c>
      <c r="N154" s="4" t="s">
        <v>1876</v>
      </c>
      <c r="O154" s="4" t="s">
        <v>830</v>
      </c>
      <c r="P154" s="4" t="s">
        <v>2623</v>
      </c>
      <c r="Q154" s="4" t="s">
        <v>830</v>
      </c>
      <c r="T154" t="s">
        <v>830</v>
      </c>
      <c r="U154" t="s">
        <v>830</v>
      </c>
      <c r="W154" t="s">
        <v>2581</v>
      </c>
      <c r="X154" t="s">
        <v>2626</v>
      </c>
      <c r="Y154" s="4" t="s">
        <v>830</v>
      </c>
      <c r="Z154">
        <v>1</v>
      </c>
      <c r="AA154">
        <v>15</v>
      </c>
      <c r="AB154">
        <v>5.3</v>
      </c>
      <c r="AC154" t="str">
        <f t="shared" si="11"/>
        <v>GSKNCH</v>
      </c>
      <c r="AD154" t="s">
        <v>3262</v>
      </c>
      <c r="AE154" t="str">
        <f t="shared" si="12"/>
        <v>Chlorodibenzosuberone</v>
      </c>
      <c r="AF154" s="4" t="s">
        <v>3265</v>
      </c>
      <c r="AG154" s="16" t="s">
        <v>2889</v>
      </c>
      <c r="AH154" s="4" t="s">
        <v>2884</v>
      </c>
      <c r="AI154" t="str">
        <f t="shared" si="13"/>
        <v>CSD,version,6.01,with,Feb,2026,update</v>
      </c>
      <c r="AJ154" t="str">
        <f t="shared" si="14"/>
        <v>C21,H20,N1,Cl1</v>
      </c>
      <c r="AK154" s="4" t="s">
        <v>3419</v>
      </c>
      <c r="AL154">
        <v>1</v>
      </c>
      <c r="AM154">
        <v>1</v>
      </c>
      <c r="AN154" t="str">
        <f>IF(AM154&lt;&gt;"",CONCATENATE(AC154," &amp; \ce{",SUBSTITUTE(AJ154,","," "),"} &amp; ",SUBSTITUTE(AF154,"."," ")," &amp; ",AL154," &amp; ",AM154," \\"),"")</f>
        <v>GSKNCH &amp; \ce{C21 H20 N1 Cl1} &amp; Chloro-Dibenzosuberenone Piperidine Derivative &amp; 1 &amp; 1 \\</v>
      </c>
    </row>
    <row r="155" spans="1:40" ht="15" x14ac:dyDescent="0.25">
      <c r="A155" t="s">
        <v>296</v>
      </c>
      <c r="B155" s="17" t="s">
        <v>3017</v>
      </c>
      <c r="C155">
        <v>20</v>
      </c>
      <c r="D155" t="s">
        <v>297</v>
      </c>
      <c r="E155" t="s">
        <v>298</v>
      </c>
      <c r="F155" t="s">
        <v>8</v>
      </c>
      <c r="G155" t="s">
        <v>296</v>
      </c>
      <c r="H155" t="s">
        <v>830</v>
      </c>
      <c r="I155" t="s">
        <v>1952</v>
      </c>
      <c r="J155" t="s">
        <v>1433</v>
      </c>
      <c r="K155" t="s">
        <v>853</v>
      </c>
      <c r="L155" t="s">
        <v>2236</v>
      </c>
      <c r="M155" t="s">
        <v>2589</v>
      </c>
      <c r="N155">
        <v>2011</v>
      </c>
      <c r="O155" t="s">
        <v>830</v>
      </c>
      <c r="P155" t="s">
        <v>2590</v>
      </c>
      <c r="Q155" t="s">
        <v>830</v>
      </c>
      <c r="T155" t="s">
        <v>830</v>
      </c>
      <c r="U155" t="s">
        <v>830</v>
      </c>
      <c r="W155" t="s">
        <v>2250</v>
      </c>
      <c r="X155" t="s">
        <v>2238</v>
      </c>
      <c r="Y155" t="s">
        <v>830</v>
      </c>
      <c r="Z155">
        <v>1</v>
      </c>
      <c r="AA155">
        <v>725</v>
      </c>
      <c r="AB155">
        <v>20</v>
      </c>
      <c r="AC155" t="str">
        <f t="shared" si="11"/>
        <v>GUKVUE</v>
      </c>
      <c r="AD155" t="s">
        <v>3139</v>
      </c>
      <c r="AE155" t="str">
        <f t="shared" si="12"/>
        <v>4dimethylaminopyridiniummaleate</v>
      </c>
      <c r="AF155" t="s">
        <v>3144</v>
      </c>
      <c r="AG155" s="15" t="s">
        <v>2925</v>
      </c>
      <c r="AH155" t="s">
        <v>2884</v>
      </c>
      <c r="AI155" t="str">
        <f t="shared" si="13"/>
        <v>CSD,version,6.01</v>
      </c>
      <c r="AJ155" t="str">
        <f t="shared" si="14"/>
        <v>C7,H11,N2,.,C4,H3,O4</v>
      </c>
      <c r="AL155">
        <v>1</v>
      </c>
      <c r="AM155">
        <v>1</v>
      </c>
      <c r="AN155" t="str">
        <f>IF(AM155&lt;&gt;"",CONCATENATE(AC155," &amp; \ce{",SUBSTITUTE(AJ155,","," "),"} &amp; ",SUBSTITUTE(AF155,"."," ")," &amp; ",AL155," &amp; ",AM155," \\"),"")</f>
        <v>GUKVUE &amp; \ce{C7 H11 N2 . C4 H3 O4} &amp; 4-Dimethyl Amino Pyridinium Maleate &amp; 1 &amp; 1 \\</v>
      </c>
    </row>
    <row r="156" spans="1:40" x14ac:dyDescent="0.2">
      <c r="A156" t="s">
        <v>299</v>
      </c>
      <c r="B156" t="s">
        <v>300</v>
      </c>
      <c r="C156">
        <v>0</v>
      </c>
      <c r="D156" t="s">
        <v>301</v>
      </c>
      <c r="E156" t="s">
        <v>302</v>
      </c>
      <c r="F156" t="s">
        <v>8</v>
      </c>
      <c r="G156" t="s">
        <v>2842</v>
      </c>
      <c r="H156" t="s">
        <v>830</v>
      </c>
      <c r="I156" t="s">
        <v>2841</v>
      </c>
      <c r="J156" t="s">
        <v>1204</v>
      </c>
      <c r="K156" t="s">
        <v>2524</v>
      </c>
      <c r="L156" t="s">
        <v>1553</v>
      </c>
      <c r="M156" t="s">
        <v>876</v>
      </c>
      <c r="N156" t="s">
        <v>1876</v>
      </c>
      <c r="O156" t="s">
        <v>830</v>
      </c>
      <c r="P156" t="s">
        <v>2840</v>
      </c>
      <c r="Q156" t="s">
        <v>830</v>
      </c>
      <c r="T156" t="s">
        <v>830</v>
      </c>
      <c r="U156" t="s">
        <v>830</v>
      </c>
      <c r="W156" t="s">
        <v>2836</v>
      </c>
      <c r="X156" t="s">
        <v>2848</v>
      </c>
      <c r="Y156" t="s">
        <v>830</v>
      </c>
      <c r="Z156">
        <v>0</v>
      </c>
      <c r="AA156">
        <v>248</v>
      </c>
      <c r="AB156">
        <v>12</v>
      </c>
      <c r="AC156" t="str">
        <f t="shared" si="11"/>
        <v>HBZAZP</v>
      </c>
      <c r="AD156" t="s">
        <v>301</v>
      </c>
      <c r="AE156" t="str">
        <f t="shared" si="12"/>
        <v>Iminodibenzyl</v>
      </c>
      <c r="AF156" t="str">
        <f>AE156</f>
        <v>Iminodibenzyl</v>
      </c>
      <c r="AG156" s="16" t="s">
        <v>2887</v>
      </c>
      <c r="AH156" s="4" t="s">
        <v>3266</v>
      </c>
      <c r="AI156" t="str">
        <f t="shared" si="13"/>
        <v>CSD,version,6.01,with,Feb,and,May,2026,updates</v>
      </c>
      <c r="AJ156" t="str">
        <f t="shared" si="14"/>
        <v>C14,H13,N1</v>
      </c>
      <c r="AK156" t="s">
        <v>3417</v>
      </c>
      <c r="AL156">
        <v>1</v>
      </c>
      <c r="AM156">
        <v>2</v>
      </c>
      <c r="AN156" t="str">
        <f>IF(AM156&lt;&gt;"",CONCATENATE(AC156," &amp; \ce{",SUBSTITUTE(AJ156,","," "),"} &amp; ",SUBSTITUTE(AF156,"."," ")," &amp; ",AL156," &amp; ",AM156," \\"),"")</f>
        <v>HBZAZP &amp; \ce{C14 H13 N1} &amp; Iminodibenzyl &amp; 1 &amp; 2 \\</v>
      </c>
    </row>
    <row r="157" spans="1:40" x14ac:dyDescent="0.2">
      <c r="A157" t="s">
        <v>299</v>
      </c>
      <c r="B157" t="s">
        <v>300</v>
      </c>
      <c r="C157">
        <v>1</v>
      </c>
      <c r="D157" t="s">
        <v>301</v>
      </c>
      <c r="E157" t="s">
        <v>302</v>
      </c>
      <c r="F157" t="s">
        <v>8</v>
      </c>
      <c r="G157" t="s">
        <v>2842</v>
      </c>
      <c r="H157" t="s">
        <v>830</v>
      </c>
      <c r="I157" t="s">
        <v>2841</v>
      </c>
      <c r="J157" t="s">
        <v>2853</v>
      </c>
      <c r="K157" t="s">
        <v>839</v>
      </c>
      <c r="L157" t="s">
        <v>2849</v>
      </c>
      <c r="M157" t="s">
        <v>876</v>
      </c>
      <c r="N157" s="5" t="s">
        <v>2850</v>
      </c>
      <c r="O157" t="s">
        <v>830</v>
      </c>
      <c r="P157" t="s">
        <v>881</v>
      </c>
      <c r="Q157" t="s">
        <v>830</v>
      </c>
      <c r="T157" t="s">
        <v>830</v>
      </c>
      <c r="U157" t="s">
        <v>830</v>
      </c>
      <c r="W157" t="s">
        <v>2836</v>
      </c>
      <c r="X157" t="s">
        <v>2854</v>
      </c>
      <c r="Y157" t="s">
        <v>830</v>
      </c>
      <c r="Z157">
        <v>1</v>
      </c>
      <c r="AC157" t="str">
        <f t="shared" si="11"/>
        <v/>
      </c>
      <c r="AE157" t="str">
        <f t="shared" si="12"/>
        <v/>
      </c>
      <c r="AI157" t="str">
        <f t="shared" si="13"/>
        <v/>
      </c>
      <c r="AJ157" t="str">
        <f t="shared" si="14"/>
        <v/>
      </c>
      <c r="AK157" s="8"/>
      <c r="AL157" s="8"/>
      <c r="AM157" s="8"/>
      <c r="AN157" t="str">
        <f>IF(AM157&lt;&gt;"",CONCATENATE(AC157," &amp; ",SUBSTITUTE(AJ157,","," ")," &amp; ",SUBSTITUTE(AF157,"."," ")," &amp; ",AL157," &amp; ",AM157," \\"),"")</f>
        <v/>
      </c>
    </row>
    <row r="158" spans="1:40" ht="15" x14ac:dyDescent="0.25">
      <c r="A158" t="s">
        <v>303</v>
      </c>
      <c r="B158" s="17" t="s">
        <v>3018</v>
      </c>
      <c r="C158">
        <v>0</v>
      </c>
      <c r="D158" t="s">
        <v>304</v>
      </c>
      <c r="E158" t="s">
        <v>305</v>
      </c>
      <c r="F158" t="s">
        <v>306</v>
      </c>
      <c r="G158" t="s">
        <v>2546</v>
      </c>
      <c r="H158" t="s">
        <v>830</v>
      </c>
      <c r="I158" t="s">
        <v>2385</v>
      </c>
      <c r="J158" t="s">
        <v>1201</v>
      </c>
      <c r="K158" t="s">
        <v>897</v>
      </c>
      <c r="L158" t="s">
        <v>1553</v>
      </c>
      <c r="M158" t="s">
        <v>876</v>
      </c>
      <c r="N158" t="s">
        <v>1876</v>
      </c>
      <c r="O158" t="s">
        <v>830</v>
      </c>
      <c r="P158" t="s">
        <v>2545</v>
      </c>
      <c r="Q158" t="s">
        <v>830</v>
      </c>
      <c r="T158" t="s">
        <v>830</v>
      </c>
      <c r="U158" t="s">
        <v>830</v>
      </c>
      <c r="W158" t="s">
        <v>2526</v>
      </c>
      <c r="X158" t="s">
        <v>2547</v>
      </c>
      <c r="Y158" t="s">
        <v>830</v>
      </c>
      <c r="Z158">
        <v>2</v>
      </c>
      <c r="AA158">
        <v>123</v>
      </c>
      <c r="AB158">
        <v>14.18</v>
      </c>
      <c r="AC158" t="str">
        <f t="shared" si="11"/>
        <v>HCSBTZ</v>
      </c>
      <c r="AD158" t="s">
        <v>304</v>
      </c>
      <c r="AE158" t="str">
        <f t="shared" si="12"/>
        <v>Hydrochlorothiazide</v>
      </c>
      <c r="AF158" t="str">
        <f>AE158</f>
        <v>Hydrochlorothiazide</v>
      </c>
      <c r="AG158" s="16" t="s">
        <v>2889</v>
      </c>
      <c r="AH158" s="4" t="s">
        <v>2884</v>
      </c>
      <c r="AI158" t="str">
        <f t="shared" si="13"/>
        <v>CSD,version,6.01,with,Feb,2026,update</v>
      </c>
      <c r="AJ158" t="str">
        <f t="shared" si="14"/>
        <v>C7,H8,N3,O4,Cl1,S2</v>
      </c>
      <c r="AL158">
        <v>1</v>
      </c>
      <c r="AM158">
        <v>1</v>
      </c>
      <c r="AN158" t="str">
        <f>IF(AM158&lt;&gt;"",CONCATENATE(AC158," &amp; \ce{",SUBSTITUTE(AJ158,","," "),"} &amp; ",SUBSTITUTE(AF158,"."," ")," &amp; ",AL158," &amp; ",AM158," \\"),"")</f>
        <v>HCSBTZ &amp; \ce{C7 H8 N3 O4 Cl1 S2} &amp; Hydrochlorothiazide &amp; 1 &amp; 1 \\</v>
      </c>
    </row>
    <row r="159" spans="1:40" s="8" customFormat="1" ht="15" x14ac:dyDescent="0.25">
      <c r="A159" t="s">
        <v>3256</v>
      </c>
      <c r="B159" s="17" t="s">
        <v>3012</v>
      </c>
      <c r="C159">
        <v>10</v>
      </c>
      <c r="D159" s="4" t="s">
        <v>2353</v>
      </c>
      <c r="E159" t="s">
        <v>254</v>
      </c>
      <c r="F159"/>
      <c r="G159" s="4" t="s">
        <v>2355</v>
      </c>
      <c r="H159" t="s">
        <v>830</v>
      </c>
      <c r="I159" t="s">
        <v>2385</v>
      </c>
      <c r="J159" t="s">
        <v>1391</v>
      </c>
      <c r="K159" t="s">
        <v>839</v>
      </c>
      <c r="L159" t="s">
        <v>2356</v>
      </c>
      <c r="M159" t="s">
        <v>2354</v>
      </c>
      <c r="N159">
        <v>2013</v>
      </c>
      <c r="O159" t="s">
        <v>830</v>
      </c>
      <c r="P159" t="s">
        <v>2357</v>
      </c>
      <c r="Q159" t="s">
        <v>830</v>
      </c>
      <c r="R159"/>
      <c r="S159"/>
      <c r="T159" t="s">
        <v>830</v>
      </c>
      <c r="U159" t="s">
        <v>830</v>
      </c>
      <c r="V159"/>
      <c r="W159" t="s">
        <v>2343</v>
      </c>
      <c r="X159" t="s">
        <v>2364</v>
      </c>
      <c r="Y159" t="s">
        <v>830</v>
      </c>
      <c r="Z159">
        <v>1</v>
      </c>
      <c r="AA159">
        <v>38</v>
      </c>
      <c r="AB159">
        <v>42.652000000000001</v>
      </c>
      <c r="AC159" t="str">
        <f t="shared" si="11"/>
        <v>HEBZAS</v>
      </c>
      <c r="AD159" t="s">
        <v>3254</v>
      </c>
      <c r="AE159" t="str">
        <f t="shared" si="12"/>
        <v>LY2806920HCl</v>
      </c>
      <c r="AF159" t="str">
        <f>AE159</f>
        <v>LY2806920HCl</v>
      </c>
      <c r="AG159" s="15" t="s">
        <v>2919</v>
      </c>
      <c r="AH159" t="s">
        <v>2884</v>
      </c>
      <c r="AI159" t="str">
        <f t="shared" si="13"/>
        <v>CSD,version,6.01,with,Feb,2026,update</v>
      </c>
      <c r="AJ159" t="str">
        <f t="shared" si="14"/>
        <v>C16,H22,N3,O3,+,.,Cl,-</v>
      </c>
      <c r="AK159"/>
      <c r="AL159">
        <v>1</v>
      </c>
      <c r="AM159">
        <v>1</v>
      </c>
      <c r="AN159" t="str">
        <f>IF(AM159&lt;&gt;"",CONCATENATE(AC159," &amp; \ce{",SUBSTITUTE(AJ159,","," "),"} &amp; ",SUBSTITUTE(AF159,"."," ")," &amp; ",AL159," &amp; ",AM159," \\"),"")</f>
        <v>HEBZAS &amp; \ce{C16 H22 N3 O3 + . Cl -} &amp; LY2806920HCl &amp; 1 &amp; 1 \\</v>
      </c>
    </row>
    <row r="160" spans="1:40" x14ac:dyDescent="0.2">
      <c r="A160" t="s">
        <v>307</v>
      </c>
      <c r="B160" t="s">
        <v>117</v>
      </c>
      <c r="C160">
        <v>0</v>
      </c>
      <c r="D160" t="s">
        <v>308</v>
      </c>
      <c r="E160" t="s">
        <v>309</v>
      </c>
      <c r="F160" t="s">
        <v>310</v>
      </c>
      <c r="G160" t="s">
        <v>1578</v>
      </c>
      <c r="H160" t="s">
        <v>830</v>
      </c>
      <c r="I160" t="s">
        <v>1557</v>
      </c>
      <c r="J160" t="s">
        <v>1099</v>
      </c>
      <c r="K160" t="s">
        <v>846</v>
      </c>
      <c r="L160" t="s">
        <v>1553</v>
      </c>
      <c r="M160" t="s">
        <v>1559</v>
      </c>
      <c r="N160" t="s">
        <v>1561</v>
      </c>
      <c r="O160" t="s">
        <v>830</v>
      </c>
      <c r="P160" t="s">
        <v>1751</v>
      </c>
      <c r="Q160" t="s">
        <v>830</v>
      </c>
      <c r="T160" t="s">
        <v>830</v>
      </c>
      <c r="U160" t="s">
        <v>830</v>
      </c>
      <c r="W160" t="s">
        <v>1731</v>
      </c>
      <c r="X160" t="s">
        <v>1768</v>
      </c>
      <c r="Y160" t="s">
        <v>830</v>
      </c>
      <c r="Z160">
        <v>1</v>
      </c>
      <c r="AA160">
        <v>74</v>
      </c>
      <c r="AB160">
        <v>4.91</v>
      </c>
      <c r="AC160" t="str">
        <f t="shared" si="11"/>
        <v>HIBWEU</v>
      </c>
      <c r="AD160" t="s">
        <v>3099</v>
      </c>
      <c r="AE160" t="str">
        <f t="shared" si="12"/>
        <v>35-dichloronitrobenzene</v>
      </c>
      <c r="AF160" t="s">
        <v>3453</v>
      </c>
      <c r="AG160" s="15" t="s">
        <v>2889</v>
      </c>
      <c r="AH160" t="s">
        <v>3123</v>
      </c>
      <c r="AI160" t="str">
        <f t="shared" si="13"/>
        <v>CSD,version,5.44,with,April,2023,update</v>
      </c>
      <c r="AJ160" t="str">
        <f t="shared" si="14"/>
        <v>C6,H3,N1,O2,Cl2</v>
      </c>
      <c r="AK160" t="s">
        <v>3124</v>
      </c>
      <c r="AL160">
        <v>2</v>
      </c>
      <c r="AM160">
        <v>4</v>
      </c>
      <c r="AN160" t="str">
        <f>IF(AM160&lt;&gt;"",CONCATENATE(AC160," &amp; \ce{",SUBSTITUTE(AJ160,","," "),"} &amp; ",SUBSTITUTE(AF160,"."," ")," &amp; ",AL160," &amp; ",AM160," \\"),"")</f>
        <v>HIBWEU &amp; \ce{C6 H3 N1 O2 Cl2} &amp; 3,5-dichloronitrobenzene &amp; 2 &amp; 4 \\</v>
      </c>
    </row>
    <row r="161" spans="1:40" x14ac:dyDescent="0.2">
      <c r="A161" t="s">
        <v>307</v>
      </c>
      <c r="B161" t="s">
        <v>117</v>
      </c>
      <c r="C161">
        <v>10</v>
      </c>
      <c r="D161" t="s">
        <v>308</v>
      </c>
      <c r="E161" t="s">
        <v>309</v>
      </c>
      <c r="F161" t="s">
        <v>310</v>
      </c>
      <c r="G161" t="s">
        <v>1578</v>
      </c>
      <c r="H161" t="s">
        <v>830</v>
      </c>
      <c r="I161" t="s">
        <v>1557</v>
      </c>
      <c r="J161" t="s">
        <v>1580</v>
      </c>
      <c r="K161" t="s">
        <v>839</v>
      </c>
      <c r="L161" t="s">
        <v>1472</v>
      </c>
      <c r="M161" t="s">
        <v>876</v>
      </c>
      <c r="N161" t="s">
        <v>1562</v>
      </c>
      <c r="O161" t="s">
        <v>830</v>
      </c>
      <c r="P161" t="s">
        <v>1751</v>
      </c>
      <c r="Q161" t="s">
        <v>830</v>
      </c>
      <c r="T161" t="s">
        <v>830</v>
      </c>
      <c r="U161" t="s">
        <v>830</v>
      </c>
      <c r="W161" t="s">
        <v>1731</v>
      </c>
      <c r="X161" t="s">
        <v>1769</v>
      </c>
      <c r="Y161" t="s">
        <v>830</v>
      </c>
      <c r="Z161">
        <v>1</v>
      </c>
      <c r="AA161">
        <v>1028</v>
      </c>
      <c r="AB161">
        <v>20</v>
      </c>
      <c r="AC161" t="str">
        <f t="shared" si="11"/>
        <v/>
      </c>
      <c r="AE161" t="str">
        <f t="shared" si="12"/>
        <v/>
      </c>
      <c r="AI161" t="str">
        <f t="shared" si="13"/>
        <v/>
      </c>
      <c r="AJ161" t="str">
        <f t="shared" si="14"/>
        <v/>
      </c>
      <c r="AN161" t="str">
        <f>IF(AM161&lt;&gt;"",CONCATENATE(AC161," &amp; ",SUBSTITUTE(AJ161,","," ")," &amp; ",SUBSTITUTE(AF161,"."," ")," &amp; ",AL161," &amp; ",AM161," \\"),"")</f>
        <v/>
      </c>
    </row>
    <row r="162" spans="1:40" x14ac:dyDescent="0.2">
      <c r="A162" t="s">
        <v>307</v>
      </c>
      <c r="B162" t="s">
        <v>117</v>
      </c>
      <c r="C162">
        <v>20</v>
      </c>
      <c r="D162" t="s">
        <v>308</v>
      </c>
      <c r="E162" t="s">
        <v>309</v>
      </c>
      <c r="F162" t="s">
        <v>310</v>
      </c>
      <c r="G162" t="s">
        <v>1578</v>
      </c>
      <c r="H162" t="s">
        <v>830</v>
      </c>
      <c r="I162" t="s">
        <v>1557</v>
      </c>
      <c r="J162" t="s">
        <v>1581</v>
      </c>
      <c r="K162" t="s">
        <v>839</v>
      </c>
      <c r="L162" t="s">
        <v>1560</v>
      </c>
      <c r="M162" t="s">
        <v>876</v>
      </c>
      <c r="N162" t="s">
        <v>1562</v>
      </c>
      <c r="O162" t="s">
        <v>830</v>
      </c>
      <c r="P162" t="s">
        <v>1751</v>
      </c>
      <c r="Q162" t="s">
        <v>830</v>
      </c>
      <c r="T162" t="s">
        <v>830</v>
      </c>
      <c r="U162" t="s">
        <v>830</v>
      </c>
      <c r="W162" t="s">
        <v>1731</v>
      </c>
      <c r="X162" t="s">
        <v>1770</v>
      </c>
      <c r="Y162" t="s">
        <v>830</v>
      </c>
      <c r="Z162">
        <v>1</v>
      </c>
      <c r="AA162">
        <v>1168</v>
      </c>
      <c r="AB162">
        <v>19.146000000000001</v>
      </c>
      <c r="AC162" t="str">
        <f t="shared" ref="AC162:AC183" si="15">IF(AND(A162&lt;&gt;A161,T162="Yes"),A162,"")</f>
        <v/>
      </c>
      <c r="AE162" t="str">
        <f t="shared" si="12"/>
        <v/>
      </c>
      <c r="AI162" t="str">
        <f t="shared" si="13"/>
        <v/>
      </c>
      <c r="AJ162" t="str">
        <f t="shared" si="14"/>
        <v/>
      </c>
      <c r="AN162" t="str">
        <f>IF(AM162&lt;&gt;"",CONCATENATE(AC162," &amp; ",SUBSTITUTE(AJ162,","," ")," &amp; ",SUBSTITUTE(AF162,"."," ")," &amp; ",AL162," &amp; ",AM162," \\"),"")</f>
        <v/>
      </c>
    </row>
    <row r="163" spans="1:40" x14ac:dyDescent="0.2">
      <c r="A163" t="s">
        <v>307</v>
      </c>
      <c r="B163" t="s">
        <v>117</v>
      </c>
      <c r="C163">
        <v>30</v>
      </c>
      <c r="D163" t="s">
        <v>308</v>
      </c>
      <c r="E163" t="s">
        <v>309</v>
      </c>
      <c r="F163" t="s">
        <v>310</v>
      </c>
      <c r="G163" t="s">
        <v>1578</v>
      </c>
      <c r="H163" t="s">
        <v>830</v>
      </c>
      <c r="I163" t="s">
        <v>1557</v>
      </c>
      <c r="J163" t="s">
        <v>1582</v>
      </c>
      <c r="K163" t="s">
        <v>839</v>
      </c>
      <c r="L163" t="s">
        <v>1565</v>
      </c>
      <c r="M163" t="s">
        <v>876</v>
      </c>
      <c r="N163" t="s">
        <v>1562</v>
      </c>
      <c r="O163" t="s">
        <v>830</v>
      </c>
      <c r="P163" t="s">
        <v>1751</v>
      </c>
      <c r="Q163" t="s">
        <v>830</v>
      </c>
      <c r="T163" t="s">
        <v>830</v>
      </c>
      <c r="U163" t="s">
        <v>830</v>
      </c>
      <c r="W163" t="s">
        <v>1731</v>
      </c>
      <c r="X163" t="s">
        <v>1771</v>
      </c>
      <c r="Y163" t="s">
        <v>830</v>
      </c>
      <c r="Z163">
        <v>1</v>
      </c>
      <c r="AA163">
        <v>1028</v>
      </c>
      <c r="AB163">
        <v>20</v>
      </c>
      <c r="AC163" t="str">
        <f t="shared" si="15"/>
        <v/>
      </c>
      <c r="AE163" t="str">
        <f t="shared" si="12"/>
        <v/>
      </c>
      <c r="AI163" t="str">
        <f t="shared" si="13"/>
        <v/>
      </c>
      <c r="AJ163" t="str">
        <f t="shared" si="14"/>
        <v/>
      </c>
      <c r="AN163" t="str">
        <f>IF(AM163&lt;&gt;"",CONCATENATE(AC163," &amp; ",SUBSTITUTE(AJ163,","," ")," &amp; ",SUBSTITUTE(AF163,"."," ")," &amp; ",AL163," &amp; ",AM163," \\"),"")</f>
        <v/>
      </c>
    </row>
    <row r="164" spans="1:40" x14ac:dyDescent="0.2">
      <c r="A164" t="s">
        <v>311</v>
      </c>
      <c r="B164" t="s">
        <v>312</v>
      </c>
      <c r="C164">
        <v>0</v>
      </c>
      <c r="D164" t="s">
        <v>313</v>
      </c>
      <c r="E164" t="s">
        <v>314</v>
      </c>
      <c r="F164" t="s">
        <v>8</v>
      </c>
      <c r="G164" t="s">
        <v>311</v>
      </c>
      <c r="H164" t="s">
        <v>830</v>
      </c>
      <c r="I164" t="s">
        <v>2385</v>
      </c>
      <c r="J164" t="s">
        <v>1117</v>
      </c>
      <c r="K164" t="s">
        <v>845</v>
      </c>
      <c r="L164" t="s">
        <v>2316</v>
      </c>
      <c r="M164" t="s">
        <v>916</v>
      </c>
      <c r="N164">
        <v>2007</v>
      </c>
      <c r="O164" t="s">
        <v>830</v>
      </c>
      <c r="P164" t="s">
        <v>2564</v>
      </c>
      <c r="Q164" t="s">
        <v>830</v>
      </c>
      <c r="T164" t="s">
        <v>830</v>
      </c>
      <c r="U164" t="s">
        <v>830</v>
      </c>
      <c r="W164" t="s">
        <v>2653</v>
      </c>
      <c r="X164" t="s">
        <v>2680</v>
      </c>
      <c r="Y164" t="s">
        <v>830</v>
      </c>
      <c r="Z164">
        <v>1</v>
      </c>
      <c r="AA164">
        <v>25</v>
      </c>
      <c r="AB164">
        <v>4.3099999999999996</v>
      </c>
      <c r="AC164" t="str">
        <f t="shared" si="15"/>
        <v>HOQHAW</v>
      </c>
      <c r="AD164" s="4" t="s">
        <v>3267</v>
      </c>
      <c r="AE164" t="str">
        <f t="shared" si="12"/>
        <v>5AzauracilMonohydrate</v>
      </c>
      <c r="AF164" t="s">
        <v>3236</v>
      </c>
      <c r="AG164" s="16" t="s">
        <v>3132</v>
      </c>
      <c r="AH164" s="4" t="s">
        <v>2884</v>
      </c>
      <c r="AI164" t="str">
        <f t="shared" si="13"/>
        <v>CSD,version,6.01,with,Feb,2026,update</v>
      </c>
      <c r="AJ164" t="str">
        <f t="shared" si="14"/>
        <v>C3,H3,N3,O2,.,H2,O1</v>
      </c>
      <c r="AL164">
        <v>1</v>
      </c>
      <c r="AM164">
        <v>1</v>
      </c>
      <c r="AN164" t="str">
        <f>IF(AM164&lt;&gt;"",CONCATENATE(AC164," &amp; \ce{",SUBSTITUTE(AJ164,","," "),"} &amp; ",SUBSTITUTE(AF164,"."," ")," &amp; ",AL164," &amp; ",AM164," \\"),"")</f>
        <v>HOQHAW &amp; \ce{C3 H3 N3 O2 . H2 O1} &amp; 5-Azauracil Monohydrate &amp; 1 &amp; 1 \\</v>
      </c>
    </row>
    <row r="165" spans="1:40" x14ac:dyDescent="0.2">
      <c r="A165" s="4" t="s">
        <v>1070</v>
      </c>
      <c r="B165" t="s">
        <v>359</v>
      </c>
      <c r="C165">
        <v>0</v>
      </c>
      <c r="D165" t="s">
        <v>360</v>
      </c>
      <c r="E165" t="s">
        <v>361</v>
      </c>
      <c r="F165" t="s">
        <v>8</v>
      </c>
      <c r="G165" s="4" t="s">
        <v>1862</v>
      </c>
      <c r="H165" t="s">
        <v>830</v>
      </c>
      <c r="I165" t="s">
        <v>1863</v>
      </c>
      <c r="J165" t="s">
        <v>1372</v>
      </c>
      <c r="K165" t="s">
        <v>861</v>
      </c>
      <c r="L165" t="s">
        <v>1805</v>
      </c>
      <c r="M165" t="s">
        <v>882</v>
      </c>
      <c r="N165">
        <v>2013</v>
      </c>
      <c r="O165" t="s">
        <v>830</v>
      </c>
      <c r="P165" t="s">
        <v>1810</v>
      </c>
      <c r="Q165" t="s">
        <v>830</v>
      </c>
      <c r="T165" t="s">
        <v>830</v>
      </c>
      <c r="U165" t="s">
        <v>830</v>
      </c>
      <c r="W165" t="s">
        <v>1869</v>
      </c>
      <c r="X165" t="s">
        <v>1868</v>
      </c>
      <c r="Y165" t="s">
        <v>830</v>
      </c>
      <c r="Z165">
        <v>2</v>
      </c>
      <c r="AA165">
        <v>568</v>
      </c>
      <c r="AB165">
        <v>22.34</v>
      </c>
      <c r="AC165" t="str">
        <f t="shared" si="15"/>
        <v>HUPNIR</v>
      </c>
      <c r="AD165" s="4" t="s">
        <v>360</v>
      </c>
      <c r="AE165" t="str">
        <f t="shared" si="12"/>
        <v>Anisole</v>
      </c>
      <c r="AF165" t="str">
        <f>AE165</f>
        <v>Anisole</v>
      </c>
      <c r="AG165" s="16" t="s">
        <v>3071</v>
      </c>
      <c r="AH165" s="4" t="s">
        <v>2884</v>
      </c>
      <c r="AI165" t="str">
        <f t="shared" si="13"/>
        <v>CSD,version,5.45,with,Mar,,Jun,and,Sep,2024,updates</v>
      </c>
      <c r="AJ165" t="str">
        <f t="shared" si="14"/>
        <v>C7,H8,O1</v>
      </c>
      <c r="AL165">
        <v>1</v>
      </c>
      <c r="AM165">
        <v>1</v>
      </c>
      <c r="AN165" t="str">
        <f>IF(AM165&lt;&gt;"",CONCATENATE(AC165," &amp; \ce{",SUBSTITUTE(AJ165,","," "),"} &amp; ",SUBSTITUTE(AF165,"."," ")," &amp; ",AL165," &amp; ",AM165," \\"),"")</f>
        <v>HUPNIR &amp; \ce{C7 H8 O1} &amp; Anisole &amp; 1 &amp; 1 \\</v>
      </c>
    </row>
    <row r="166" spans="1:40" x14ac:dyDescent="0.2">
      <c r="A166" t="s">
        <v>315</v>
      </c>
      <c r="B166" t="s">
        <v>316</v>
      </c>
      <c r="C166">
        <v>0</v>
      </c>
      <c r="D166" t="s">
        <v>317</v>
      </c>
      <c r="E166" t="s">
        <v>318</v>
      </c>
      <c r="F166" t="s">
        <v>319</v>
      </c>
      <c r="G166" t="s">
        <v>2572</v>
      </c>
      <c r="H166" s="4" t="s">
        <v>830</v>
      </c>
      <c r="I166" t="s">
        <v>2385</v>
      </c>
      <c r="J166" t="s">
        <v>1222</v>
      </c>
      <c r="K166" t="s">
        <v>839</v>
      </c>
      <c r="L166" t="s">
        <v>2316</v>
      </c>
      <c r="M166" t="s">
        <v>876</v>
      </c>
      <c r="N166" t="s">
        <v>1876</v>
      </c>
      <c r="O166" t="s">
        <v>830</v>
      </c>
      <c r="P166" s="4" t="s">
        <v>891</v>
      </c>
      <c r="Q166" s="4" t="s">
        <v>830</v>
      </c>
      <c r="T166" s="4" t="s">
        <v>830</v>
      </c>
      <c r="U166" s="4" t="s">
        <v>830</v>
      </c>
      <c r="W166" t="s">
        <v>2581</v>
      </c>
      <c r="X166" t="s">
        <v>2621</v>
      </c>
      <c r="Y166" t="s">
        <v>830</v>
      </c>
      <c r="Z166">
        <v>2</v>
      </c>
      <c r="AA166">
        <v>15</v>
      </c>
      <c r="AB166">
        <v>10</v>
      </c>
      <c r="AC166" t="str">
        <f t="shared" si="15"/>
        <v>HXACAN</v>
      </c>
      <c r="AD166" s="4" t="s">
        <v>317</v>
      </c>
      <c r="AE166" t="str">
        <f t="shared" si="12"/>
        <v>Paracetamol</v>
      </c>
      <c r="AF166" t="str">
        <f>AE166</f>
        <v>Paracetamol</v>
      </c>
      <c r="AG166" s="16" t="s">
        <v>2889</v>
      </c>
      <c r="AH166" s="4" t="s">
        <v>2884</v>
      </c>
      <c r="AI166" t="str">
        <f t="shared" si="13"/>
        <v>CSD,version,6.01,with,Feb,2026,update</v>
      </c>
      <c r="AJ166" t="str">
        <f t="shared" si="14"/>
        <v>C8,H9,N1,O2</v>
      </c>
      <c r="AL166">
        <v>2</v>
      </c>
      <c r="AM166">
        <v>2</v>
      </c>
      <c r="AN166" t="str">
        <f>IF(AM166&lt;&gt;"",CONCATENATE(AC166," &amp; \ce{",SUBSTITUTE(AJ166,","," "),"} &amp; ",SUBSTITUTE(AF166,"."," ")," &amp; ",AL166," &amp; ",AM166," \\"),"")</f>
        <v>HXACAN &amp; \ce{C8 H9 N1 O2} &amp; Paracetamol &amp; 2 &amp; 2 \\</v>
      </c>
    </row>
    <row r="167" spans="1:40" ht="15" x14ac:dyDescent="0.25">
      <c r="A167" t="s">
        <v>315</v>
      </c>
      <c r="B167" s="17" t="s">
        <v>316</v>
      </c>
      <c r="C167">
        <v>10</v>
      </c>
      <c r="D167" t="s">
        <v>317</v>
      </c>
      <c r="E167" t="s">
        <v>320</v>
      </c>
      <c r="F167" t="s">
        <v>319</v>
      </c>
      <c r="G167" t="s">
        <v>2572</v>
      </c>
      <c r="H167" s="4" t="s">
        <v>830</v>
      </c>
      <c r="I167" t="s">
        <v>2385</v>
      </c>
      <c r="J167" t="s">
        <v>1423</v>
      </c>
      <c r="K167" t="s">
        <v>865</v>
      </c>
      <c r="L167" s="4" t="s">
        <v>2620</v>
      </c>
      <c r="M167" t="s">
        <v>876</v>
      </c>
      <c r="N167">
        <v>2017</v>
      </c>
      <c r="O167" t="s">
        <v>830</v>
      </c>
      <c r="P167" s="4" t="s">
        <v>2619</v>
      </c>
      <c r="Q167" s="4" t="s">
        <v>830</v>
      </c>
      <c r="T167" s="4" t="s">
        <v>830</v>
      </c>
      <c r="U167" s="4" t="s">
        <v>830</v>
      </c>
      <c r="W167" t="s">
        <v>2581</v>
      </c>
      <c r="X167" t="s">
        <v>2622</v>
      </c>
      <c r="Y167" t="s">
        <v>830</v>
      </c>
      <c r="Z167">
        <v>3</v>
      </c>
      <c r="AA167">
        <v>640</v>
      </c>
      <c r="AB167">
        <v>15</v>
      </c>
      <c r="AC167" t="str">
        <f t="shared" si="15"/>
        <v/>
      </c>
      <c r="AE167" t="str">
        <f t="shared" si="12"/>
        <v/>
      </c>
      <c r="AI167" t="str">
        <f t="shared" si="13"/>
        <v/>
      </c>
      <c r="AJ167" t="str">
        <f t="shared" si="14"/>
        <v/>
      </c>
      <c r="AN167" t="str">
        <f>IF(AM167&lt;&gt;"",CONCATENATE(AC167," &amp; ",SUBSTITUTE(AJ167,","," ")," &amp; ",SUBSTITUTE(AF167,"."," ")," &amp; ",AL167," &amp; ",AM167," \\"),"")</f>
        <v/>
      </c>
    </row>
    <row r="168" spans="1:40" x14ac:dyDescent="0.2">
      <c r="A168" t="s">
        <v>321</v>
      </c>
      <c r="B168" t="s">
        <v>322</v>
      </c>
      <c r="C168">
        <v>10</v>
      </c>
      <c r="D168" t="s">
        <v>323</v>
      </c>
      <c r="E168" t="s">
        <v>326</v>
      </c>
      <c r="F168" t="s">
        <v>327</v>
      </c>
      <c r="G168" s="4" t="s">
        <v>2047</v>
      </c>
      <c r="H168" t="s">
        <v>830</v>
      </c>
      <c r="I168" t="s">
        <v>1591</v>
      </c>
      <c r="J168" t="s">
        <v>1398</v>
      </c>
      <c r="K168" t="s">
        <v>839</v>
      </c>
      <c r="L168" t="s">
        <v>2039</v>
      </c>
      <c r="M168" t="s">
        <v>896</v>
      </c>
      <c r="N168">
        <v>2018</v>
      </c>
      <c r="O168" t="s">
        <v>830</v>
      </c>
      <c r="P168" t="s">
        <v>896</v>
      </c>
      <c r="Q168" t="s">
        <v>830</v>
      </c>
      <c r="S168" t="s">
        <v>896</v>
      </c>
      <c r="T168" t="s">
        <v>830</v>
      </c>
      <c r="U168" t="s">
        <v>830</v>
      </c>
      <c r="W168" t="s">
        <v>2034</v>
      </c>
      <c r="X168" t="s">
        <v>2043</v>
      </c>
      <c r="Y168" t="s">
        <v>830</v>
      </c>
      <c r="Z168">
        <v>3</v>
      </c>
      <c r="AA168">
        <v>3865</v>
      </c>
      <c r="AB168">
        <v>37.594000000000001</v>
      </c>
      <c r="AC168" t="str">
        <f t="shared" si="15"/>
        <v>IBPRAC</v>
      </c>
      <c r="AD168" t="s">
        <v>323</v>
      </c>
      <c r="AE168" t="str">
        <f t="shared" si="12"/>
        <v>Ibuprofen</v>
      </c>
      <c r="AF168" t="str">
        <f>AE168</f>
        <v>Ibuprofen</v>
      </c>
      <c r="AG168" s="15" t="s">
        <v>2894</v>
      </c>
      <c r="AH168" t="s">
        <v>3073</v>
      </c>
      <c r="AI168" t="str">
        <f t="shared" si="13"/>
        <v>CSD,Version,5.45,with,Nov,2023,update</v>
      </c>
      <c r="AJ168" t="str">
        <f t="shared" si="14"/>
        <v>C13,H18,O2</v>
      </c>
      <c r="AK168" t="s">
        <v>3057</v>
      </c>
      <c r="AL168">
        <v>1</v>
      </c>
      <c r="AM168">
        <v>3</v>
      </c>
      <c r="AN168" t="str">
        <f>IF(AM168&lt;&gt;"",CONCATENATE(AC168," &amp; \ce{",SUBSTITUTE(AJ168,","," "),"} &amp; ",SUBSTITUTE(AF168,"."," ")," &amp; ",AL168," &amp; ",AM168," \\"),"")</f>
        <v>IBPRAC &amp; \ce{C13 H18 O2} &amp; Ibuprofen &amp; 1 &amp; 3 \\</v>
      </c>
    </row>
    <row r="169" spans="1:40" x14ac:dyDescent="0.2">
      <c r="A169" t="s">
        <v>321</v>
      </c>
      <c r="B169" t="s">
        <v>322</v>
      </c>
      <c r="C169">
        <v>11</v>
      </c>
      <c r="D169" t="s">
        <v>323</v>
      </c>
      <c r="E169" t="s">
        <v>326</v>
      </c>
      <c r="F169" t="s">
        <v>327</v>
      </c>
      <c r="G169" s="4" t="s">
        <v>2047</v>
      </c>
      <c r="H169" t="s">
        <v>830</v>
      </c>
      <c r="I169" t="s">
        <v>1591</v>
      </c>
      <c r="J169" t="s">
        <v>1400</v>
      </c>
      <c r="K169" t="s">
        <v>839</v>
      </c>
      <c r="L169" t="s">
        <v>1871</v>
      </c>
      <c r="M169" t="s">
        <v>1872</v>
      </c>
      <c r="N169">
        <v>2019</v>
      </c>
      <c r="O169" t="s">
        <v>830</v>
      </c>
      <c r="P169" t="s">
        <v>1870</v>
      </c>
      <c r="Q169" t="s">
        <v>830</v>
      </c>
      <c r="R169" t="s">
        <v>830</v>
      </c>
      <c r="S169" t="s">
        <v>2046</v>
      </c>
      <c r="T169" t="s">
        <v>830</v>
      </c>
      <c r="U169" t="s">
        <v>830</v>
      </c>
      <c r="V169" t="s">
        <v>2045</v>
      </c>
      <c r="W169" t="s">
        <v>2034</v>
      </c>
      <c r="X169" t="s">
        <v>2044</v>
      </c>
      <c r="Y169" t="s">
        <v>830</v>
      </c>
      <c r="Z169">
        <v>3</v>
      </c>
      <c r="AA169">
        <v>554</v>
      </c>
      <c r="AB169">
        <v>43.295999999999999</v>
      </c>
      <c r="AC169" t="str">
        <f t="shared" si="15"/>
        <v/>
      </c>
      <c r="AE169" t="str">
        <f t="shared" si="12"/>
        <v/>
      </c>
      <c r="AI169" t="str">
        <f t="shared" si="13"/>
        <v/>
      </c>
      <c r="AJ169" t="str">
        <f t="shared" si="14"/>
        <v/>
      </c>
      <c r="AN169" t="str">
        <f>IF(AM169&lt;&gt;"",CONCATENATE(AC169," &amp; ",SUBSTITUTE(AJ169,","," ")," &amp; ",SUBSTITUTE(AF169,"."," ")," &amp; ",AL169," &amp; ",AM169," \\"),"")</f>
        <v/>
      </c>
    </row>
    <row r="170" spans="1:40" x14ac:dyDescent="0.2">
      <c r="A170" t="s">
        <v>321</v>
      </c>
      <c r="B170" t="s">
        <v>322</v>
      </c>
      <c r="C170">
        <v>20</v>
      </c>
      <c r="D170" t="s">
        <v>323</v>
      </c>
      <c r="E170" t="s">
        <v>326</v>
      </c>
      <c r="F170" t="s">
        <v>327</v>
      </c>
      <c r="G170" s="4" t="s">
        <v>2047</v>
      </c>
      <c r="H170" t="s">
        <v>830</v>
      </c>
      <c r="I170" t="s">
        <v>1591</v>
      </c>
      <c r="J170" t="s">
        <v>1397</v>
      </c>
      <c r="K170" t="s">
        <v>839</v>
      </c>
      <c r="L170" t="s">
        <v>2038</v>
      </c>
      <c r="M170" t="s">
        <v>896</v>
      </c>
      <c r="N170">
        <v>2017</v>
      </c>
      <c r="O170" t="s">
        <v>830</v>
      </c>
      <c r="P170" t="s">
        <v>896</v>
      </c>
      <c r="Q170" t="s">
        <v>830</v>
      </c>
      <c r="S170" t="s">
        <v>896</v>
      </c>
      <c r="T170" t="s">
        <v>830</v>
      </c>
      <c r="U170" t="s">
        <v>830</v>
      </c>
      <c r="W170" t="s">
        <v>2034</v>
      </c>
      <c r="X170" t="s">
        <v>2041</v>
      </c>
      <c r="Y170" t="s">
        <v>830</v>
      </c>
      <c r="Z170">
        <v>3</v>
      </c>
      <c r="AA170">
        <v>9326</v>
      </c>
      <c r="AB170">
        <v>62.862000000000002</v>
      </c>
      <c r="AC170" t="str">
        <f t="shared" si="15"/>
        <v/>
      </c>
      <c r="AE170" t="str">
        <f t="shared" si="12"/>
        <v/>
      </c>
      <c r="AI170" t="str">
        <f t="shared" si="13"/>
        <v/>
      </c>
      <c r="AJ170" t="str">
        <f t="shared" si="14"/>
        <v/>
      </c>
      <c r="AN170" t="str">
        <f>IF(AM170&lt;&gt;"",CONCATENATE(AC170," &amp; ",SUBSTITUTE(AJ170,","," ")," &amp; ",SUBSTITUTE(AF170,"."," ")," &amp; ",AL170," &amp; ",AM170," \\"),"")</f>
        <v/>
      </c>
    </row>
    <row r="171" spans="1:40" x14ac:dyDescent="0.2">
      <c r="A171" t="s">
        <v>321</v>
      </c>
      <c r="B171" t="s">
        <v>322</v>
      </c>
      <c r="C171">
        <v>60</v>
      </c>
      <c r="D171" t="s">
        <v>323</v>
      </c>
      <c r="E171" t="s">
        <v>326</v>
      </c>
      <c r="F171" t="s">
        <v>327</v>
      </c>
      <c r="G171" s="4" t="s">
        <v>2047</v>
      </c>
      <c r="H171" t="s">
        <v>830</v>
      </c>
      <c r="I171" t="s">
        <v>1591</v>
      </c>
      <c r="J171" t="s">
        <v>1399</v>
      </c>
      <c r="K171" t="s">
        <v>839</v>
      </c>
      <c r="L171" t="s">
        <v>2040</v>
      </c>
      <c r="M171" t="s">
        <v>896</v>
      </c>
      <c r="N171">
        <v>2019</v>
      </c>
      <c r="O171" t="s">
        <v>830</v>
      </c>
      <c r="P171" t="s">
        <v>896</v>
      </c>
      <c r="Q171" t="s">
        <v>830</v>
      </c>
      <c r="S171" t="s">
        <v>896</v>
      </c>
      <c r="T171" t="s">
        <v>830</v>
      </c>
      <c r="U171" t="s">
        <v>830</v>
      </c>
      <c r="W171" t="s">
        <v>2034</v>
      </c>
      <c r="X171" t="s">
        <v>2042</v>
      </c>
      <c r="Y171" t="s">
        <v>830</v>
      </c>
      <c r="Z171">
        <v>3</v>
      </c>
      <c r="AA171">
        <v>6662</v>
      </c>
      <c r="AB171">
        <v>100</v>
      </c>
      <c r="AC171" t="str">
        <f t="shared" si="15"/>
        <v/>
      </c>
      <c r="AE171" t="str">
        <f t="shared" si="12"/>
        <v/>
      </c>
      <c r="AI171" t="str">
        <f t="shared" si="13"/>
        <v/>
      </c>
      <c r="AJ171" t="str">
        <f t="shared" si="14"/>
        <v/>
      </c>
      <c r="AN171" t="str">
        <f>IF(AM171&lt;&gt;"",CONCATENATE(AC171," &amp; ",SUBSTITUTE(AJ171,","," ")," &amp; ",SUBSTITUTE(AF171,"."," ")," &amp; ",AL171," &amp; ",AM171," \\"),"")</f>
        <v/>
      </c>
    </row>
    <row r="172" spans="1:40" x14ac:dyDescent="0.2">
      <c r="A172" s="8" t="s">
        <v>321</v>
      </c>
      <c r="B172" s="8" t="s">
        <v>322</v>
      </c>
      <c r="C172" s="8">
        <v>0</v>
      </c>
      <c r="D172" s="8" t="s">
        <v>323</v>
      </c>
      <c r="E172" s="8" t="s">
        <v>324</v>
      </c>
      <c r="F172" s="8" t="s">
        <v>323</v>
      </c>
      <c r="G172" s="8" t="s">
        <v>325</v>
      </c>
      <c r="H172" t="s">
        <v>2506</v>
      </c>
      <c r="T172" t="s">
        <v>1598</v>
      </c>
      <c r="W172" t="s">
        <v>1873</v>
      </c>
      <c r="X172" t="s">
        <v>1649</v>
      </c>
      <c r="Y172" t="s">
        <v>1598</v>
      </c>
      <c r="AA172" s="8">
        <v>71</v>
      </c>
      <c r="AB172" s="8">
        <v>15</v>
      </c>
      <c r="AC172" t="str">
        <f t="shared" si="15"/>
        <v/>
      </c>
      <c r="AE172" t="str">
        <f t="shared" si="12"/>
        <v/>
      </c>
      <c r="AI172" t="str">
        <f t="shared" si="13"/>
        <v/>
      </c>
      <c r="AJ172" t="str">
        <f t="shared" si="14"/>
        <v/>
      </c>
      <c r="AN172" t="str">
        <f>IF(AM172&lt;&gt;"",CONCATENATE(AC172," &amp; ",SUBSTITUTE(AJ172,","," ")," &amp; ",SUBSTITUTE(AF172,"."," ")," &amp; ",AL172," &amp; ",AM172," \\"),"")</f>
        <v/>
      </c>
    </row>
    <row r="173" spans="1:40" x14ac:dyDescent="0.2">
      <c r="A173" t="s">
        <v>328</v>
      </c>
      <c r="B173" t="s">
        <v>329</v>
      </c>
      <c r="C173">
        <v>0</v>
      </c>
      <c r="D173" t="s">
        <v>330</v>
      </c>
      <c r="E173" t="s">
        <v>331</v>
      </c>
      <c r="F173" t="s">
        <v>8</v>
      </c>
      <c r="G173" t="s">
        <v>2681</v>
      </c>
      <c r="H173" t="s">
        <v>830</v>
      </c>
      <c r="I173" t="s">
        <v>2385</v>
      </c>
      <c r="J173" t="s">
        <v>1207</v>
      </c>
      <c r="K173" t="s">
        <v>845</v>
      </c>
      <c r="L173" t="s">
        <v>1553</v>
      </c>
      <c r="M173" t="s">
        <v>876</v>
      </c>
      <c r="N173" t="s">
        <v>1876</v>
      </c>
      <c r="O173" t="s">
        <v>830</v>
      </c>
      <c r="P173" t="s">
        <v>2671</v>
      </c>
      <c r="Q173" t="s">
        <v>830</v>
      </c>
      <c r="T173" t="s">
        <v>830</v>
      </c>
      <c r="U173" t="s">
        <v>830</v>
      </c>
      <c r="W173" t="s">
        <v>2653</v>
      </c>
      <c r="X173" t="s">
        <v>2683</v>
      </c>
      <c r="Y173" t="s">
        <v>830</v>
      </c>
      <c r="Z173">
        <v>0</v>
      </c>
      <c r="AA173">
        <v>98</v>
      </c>
      <c r="AB173">
        <v>10</v>
      </c>
      <c r="AC173" t="str">
        <f t="shared" si="15"/>
        <v>ICYTIN</v>
      </c>
      <c r="AD173" s="4" t="s">
        <v>3263</v>
      </c>
      <c r="AE173" t="str">
        <f t="shared" si="12"/>
        <v>Isocytosine</v>
      </c>
      <c r="AF173" t="str">
        <f>AE173</f>
        <v>Isocytosine</v>
      </c>
      <c r="AG173" s="16" t="s">
        <v>3132</v>
      </c>
      <c r="AH173" s="4" t="s">
        <v>2897</v>
      </c>
      <c r="AI173" t="str">
        <f t="shared" si="13"/>
        <v>CSD,version,6.01,with,Feb,2026,update</v>
      </c>
      <c r="AJ173" t="str">
        <f t="shared" si="14"/>
        <v>C4,H5,N3,O1</v>
      </c>
      <c r="AL173">
        <v>2</v>
      </c>
      <c r="AM173">
        <v>2</v>
      </c>
      <c r="AN173" t="str">
        <f>IF(AM173&lt;&gt;"",CONCATENATE(AC173," &amp; \ce{",SUBSTITUTE(AJ173,","," "),"} &amp; ",SUBSTITUTE(AF173,"."," ")," &amp; ",AL173," &amp; ",AM173," \\"),"")</f>
        <v>ICYTIN &amp; \ce{C4 H5 N3 O1} &amp; Isocytosine &amp; 2 &amp; 2 \\</v>
      </c>
    </row>
    <row r="174" spans="1:40" x14ac:dyDescent="0.2">
      <c r="A174" t="s">
        <v>328</v>
      </c>
      <c r="B174" t="s">
        <v>329</v>
      </c>
      <c r="C174">
        <v>1</v>
      </c>
      <c r="D174" t="s">
        <v>332</v>
      </c>
      <c r="E174" t="s">
        <v>333</v>
      </c>
      <c r="F174" t="s">
        <v>8</v>
      </c>
      <c r="G174" t="s">
        <v>2681</v>
      </c>
      <c r="H174" t="s">
        <v>830</v>
      </c>
      <c r="I174" t="s">
        <v>2385</v>
      </c>
      <c r="J174" t="s">
        <v>1208</v>
      </c>
      <c r="K174" t="s">
        <v>845</v>
      </c>
      <c r="L174" t="s">
        <v>1553</v>
      </c>
      <c r="M174" t="s">
        <v>876</v>
      </c>
      <c r="N174" t="s">
        <v>1876</v>
      </c>
      <c r="O174" t="s">
        <v>830</v>
      </c>
      <c r="P174" t="s">
        <v>2682</v>
      </c>
      <c r="Q174" t="s">
        <v>830</v>
      </c>
      <c r="T174" t="s">
        <v>830</v>
      </c>
      <c r="U174" t="s">
        <v>830</v>
      </c>
      <c r="W174" t="s">
        <v>2653</v>
      </c>
      <c r="X174" t="s">
        <v>2684</v>
      </c>
      <c r="Y174" t="s">
        <v>830</v>
      </c>
      <c r="Z174">
        <v>0</v>
      </c>
      <c r="AA174">
        <v>62</v>
      </c>
      <c r="AB174">
        <v>10</v>
      </c>
      <c r="AC174" t="str">
        <f t="shared" si="15"/>
        <v/>
      </c>
      <c r="AE174" t="str">
        <f t="shared" si="12"/>
        <v/>
      </c>
      <c r="AI174" t="str">
        <f t="shared" si="13"/>
        <v/>
      </c>
      <c r="AJ174" t="str">
        <f t="shared" si="14"/>
        <v/>
      </c>
      <c r="AN174" t="str">
        <f>IF(AM174&lt;&gt;"",CONCATENATE(AC174," &amp; ",SUBSTITUTE(AJ174,","," ")," &amp; ",SUBSTITUTE(AF174,"."," ")," &amp; ",AL174," &amp; ",AM174," \\"),"")</f>
        <v/>
      </c>
    </row>
    <row r="175" spans="1:40" x14ac:dyDescent="0.2">
      <c r="A175" s="4" t="s">
        <v>3269</v>
      </c>
      <c r="B175" t="s">
        <v>661</v>
      </c>
      <c r="C175">
        <v>0</v>
      </c>
      <c r="D175" t="s">
        <v>662</v>
      </c>
      <c r="E175" t="s">
        <v>663</v>
      </c>
      <c r="F175" t="s">
        <v>8</v>
      </c>
      <c r="G175" t="s">
        <v>2766</v>
      </c>
      <c r="H175" t="s">
        <v>830</v>
      </c>
      <c r="I175" t="s">
        <v>2385</v>
      </c>
      <c r="J175" t="s">
        <v>1335</v>
      </c>
      <c r="K175" t="s">
        <v>898</v>
      </c>
      <c r="L175" t="s">
        <v>1805</v>
      </c>
      <c r="M175" t="s">
        <v>876</v>
      </c>
      <c r="N175">
        <v>2011</v>
      </c>
      <c r="O175" t="s">
        <v>830</v>
      </c>
      <c r="P175" t="s">
        <v>887</v>
      </c>
      <c r="Q175" t="s">
        <v>830</v>
      </c>
      <c r="T175" t="s">
        <v>830</v>
      </c>
      <c r="U175" t="s">
        <v>830</v>
      </c>
      <c r="W175" s="4" t="s">
        <v>2754</v>
      </c>
      <c r="X175" t="s">
        <v>2768</v>
      </c>
      <c r="Y175" t="s">
        <v>830</v>
      </c>
      <c r="Z175">
        <v>2</v>
      </c>
      <c r="AA175">
        <v>1157</v>
      </c>
      <c r="AB175">
        <v>30</v>
      </c>
      <c r="AC175" t="str">
        <f t="shared" si="15"/>
        <v>IJUMEG</v>
      </c>
      <c r="AD175" t="s">
        <v>3305</v>
      </c>
      <c r="AE175" t="str">
        <f t="shared" si="12"/>
        <v>GallicAcid</v>
      </c>
      <c r="AF175" t="s">
        <v>3247</v>
      </c>
      <c r="AG175" s="15" t="s">
        <v>3132</v>
      </c>
      <c r="AH175" t="s">
        <v>2888</v>
      </c>
      <c r="AI175" t="str">
        <f t="shared" si="13"/>
        <v>CSD,version,6.01,with,Feb,2026,update</v>
      </c>
      <c r="AJ175" t="str">
        <f t="shared" si="14"/>
        <v>C7,H6,O5</v>
      </c>
      <c r="AL175">
        <v>1</v>
      </c>
      <c r="AM175">
        <v>2</v>
      </c>
      <c r="AN175" t="str">
        <f>IF(AM175&lt;&gt;"",CONCATENATE(AC175," &amp; \ce{",SUBSTITUTE(AJ175,","," "),"} &amp; ",SUBSTITUTE(AF175,"."," ")," &amp; ",AL175," &amp; ",AM175," \\"),"")</f>
        <v>IJUMEG &amp; \ce{C7 H6 O5} &amp; Gallic Acid &amp; 1 &amp; 2 \\</v>
      </c>
    </row>
    <row r="176" spans="1:40" x14ac:dyDescent="0.2">
      <c r="A176" t="s">
        <v>3269</v>
      </c>
      <c r="B176" t="s">
        <v>661</v>
      </c>
      <c r="C176">
        <v>30</v>
      </c>
      <c r="D176" t="s">
        <v>662</v>
      </c>
      <c r="E176" t="s">
        <v>663</v>
      </c>
      <c r="F176" t="s">
        <v>8</v>
      </c>
      <c r="G176" t="s">
        <v>2766</v>
      </c>
      <c r="H176" t="s">
        <v>830</v>
      </c>
      <c r="I176" t="s">
        <v>2385</v>
      </c>
      <c r="J176" t="s">
        <v>1336</v>
      </c>
      <c r="K176" t="s">
        <v>898</v>
      </c>
      <c r="L176" t="s">
        <v>2767</v>
      </c>
      <c r="M176" t="s">
        <v>876</v>
      </c>
      <c r="N176">
        <v>2011</v>
      </c>
      <c r="O176" t="s">
        <v>830</v>
      </c>
      <c r="P176" t="s">
        <v>2770</v>
      </c>
      <c r="Q176" t="s">
        <v>830</v>
      </c>
      <c r="T176" t="s">
        <v>830</v>
      </c>
      <c r="U176" t="s">
        <v>830</v>
      </c>
      <c r="W176" s="4" t="s">
        <v>2754</v>
      </c>
      <c r="X176" t="s">
        <v>2769</v>
      </c>
      <c r="Y176" t="s">
        <v>830</v>
      </c>
      <c r="Z176">
        <v>1</v>
      </c>
      <c r="AA176">
        <v>560</v>
      </c>
      <c r="AB176">
        <v>40.436999999999998</v>
      </c>
      <c r="AC176" t="str">
        <f t="shared" si="15"/>
        <v/>
      </c>
      <c r="AE176" t="str">
        <f t="shared" si="12"/>
        <v/>
      </c>
      <c r="AI176" t="str">
        <f t="shared" si="13"/>
        <v/>
      </c>
      <c r="AJ176" t="str">
        <f t="shared" si="14"/>
        <v/>
      </c>
      <c r="AN176" t="str">
        <f>IF(AM176&lt;&gt;"",CONCATENATE(AC176," &amp; ",SUBSTITUTE(AJ176,","," ")," &amp; ",SUBSTITUTE(AF176,"."," ")," &amp; ",AL176," &amp; ",AM176," \\"),"")</f>
        <v/>
      </c>
    </row>
    <row r="177" spans="1:40" ht="15" x14ac:dyDescent="0.25">
      <c r="A177" t="s">
        <v>334</v>
      </c>
      <c r="B177" s="17" t="s">
        <v>3011</v>
      </c>
      <c r="C177">
        <v>10</v>
      </c>
      <c r="D177" t="s">
        <v>335</v>
      </c>
      <c r="E177" t="s">
        <v>335</v>
      </c>
      <c r="F177" t="s">
        <v>8</v>
      </c>
      <c r="G177" t="s">
        <v>334</v>
      </c>
      <c r="H177" t="s">
        <v>830</v>
      </c>
      <c r="I177" t="s">
        <v>2385</v>
      </c>
      <c r="J177" t="s">
        <v>1251</v>
      </c>
      <c r="K177" t="s">
        <v>848</v>
      </c>
      <c r="L177" t="s">
        <v>2322</v>
      </c>
      <c r="M177" t="s">
        <v>2324</v>
      </c>
      <c r="N177">
        <v>2018</v>
      </c>
      <c r="O177" t="s">
        <v>830</v>
      </c>
      <c r="P177" t="s">
        <v>2330</v>
      </c>
      <c r="Q177" t="s">
        <v>830</v>
      </c>
      <c r="T177" t="s">
        <v>830</v>
      </c>
      <c r="U177" t="s">
        <v>830</v>
      </c>
      <c r="W177" t="s">
        <v>2343</v>
      </c>
      <c r="X177" t="s">
        <v>2338</v>
      </c>
      <c r="Y177" t="s">
        <v>830</v>
      </c>
      <c r="Z177">
        <v>1</v>
      </c>
      <c r="AA177">
        <v>1177</v>
      </c>
      <c r="AB177">
        <v>27.555</v>
      </c>
      <c r="AC177" t="str">
        <f t="shared" si="15"/>
        <v>IKEXOM</v>
      </c>
      <c r="AD177" t="s">
        <v>3154</v>
      </c>
      <c r="AE177" t="str">
        <f t="shared" si="12"/>
        <v>2C4NBAMH</v>
      </c>
      <c r="AF177" t="s">
        <v>3167</v>
      </c>
      <c r="AG177" s="15" t="s">
        <v>2919</v>
      </c>
      <c r="AH177" t="s">
        <v>2884</v>
      </c>
      <c r="AI177" t="str">
        <f t="shared" si="13"/>
        <v>CSD,version,6.01,with,Feb,2026,update</v>
      </c>
      <c r="AJ177" t="str">
        <f t="shared" si="14"/>
        <v>C7,H4,N1,O4,Cl1,.,H2,O1</v>
      </c>
      <c r="AL177">
        <v>1</v>
      </c>
      <c r="AM177">
        <v>1</v>
      </c>
      <c r="AN177" t="str">
        <f>IF(AM177&lt;&gt;"",CONCATENATE(AC177," &amp; \ce{",SUBSTITUTE(AJ177,","," "),"} &amp; ",SUBSTITUTE(AF177,"."," ")," &amp; ",AL177," &amp; ",AM177," \\"),"")</f>
        <v>IKEXOM &amp; \ce{C7 H4 N1 O4 Cl1 . H2 O1} &amp; 2-Chloro-4-Nitrobenzoic Acid Monohydrate &amp; 1 &amp; 1 \\</v>
      </c>
    </row>
    <row r="178" spans="1:40" x14ac:dyDescent="0.2">
      <c r="A178" t="s">
        <v>336</v>
      </c>
      <c r="B178" t="s">
        <v>337</v>
      </c>
      <c r="C178">
        <v>0</v>
      </c>
      <c r="D178" t="s">
        <v>338</v>
      </c>
      <c r="E178" t="s">
        <v>338</v>
      </c>
      <c r="F178" t="s">
        <v>8</v>
      </c>
      <c r="G178" t="s">
        <v>2655</v>
      </c>
      <c r="H178" t="s">
        <v>830</v>
      </c>
      <c r="I178" t="s">
        <v>2385</v>
      </c>
      <c r="J178" t="s">
        <v>1203</v>
      </c>
      <c r="K178" t="s">
        <v>860</v>
      </c>
      <c r="L178" t="s">
        <v>1558</v>
      </c>
      <c r="M178" t="s">
        <v>858</v>
      </c>
      <c r="N178">
        <v>2004</v>
      </c>
      <c r="O178" t="s">
        <v>830</v>
      </c>
      <c r="P178" t="s">
        <v>2654</v>
      </c>
      <c r="Q178" t="s">
        <v>830</v>
      </c>
      <c r="T178" t="s">
        <v>830</v>
      </c>
      <c r="U178" t="s">
        <v>830</v>
      </c>
      <c r="W178" t="s">
        <v>2653</v>
      </c>
      <c r="X178" t="s">
        <v>2656</v>
      </c>
      <c r="Y178" t="s">
        <v>830</v>
      </c>
      <c r="Z178">
        <v>1</v>
      </c>
      <c r="AA178">
        <v>64</v>
      </c>
      <c r="AB178">
        <v>5</v>
      </c>
      <c r="AC178" t="str">
        <f t="shared" si="15"/>
        <v>IMAZOL</v>
      </c>
      <c r="AD178" t="s">
        <v>338</v>
      </c>
      <c r="AE178" t="str">
        <f t="shared" si="12"/>
        <v>Imidazole</v>
      </c>
      <c r="AF178" t="str">
        <f>AE178</f>
        <v>Imidazole</v>
      </c>
      <c r="AG178" s="16" t="s">
        <v>3132</v>
      </c>
      <c r="AH178" s="4" t="s">
        <v>2884</v>
      </c>
      <c r="AI178" t="str">
        <f t="shared" si="13"/>
        <v>CSD,version,6.01,with,Feb,2026,update</v>
      </c>
      <c r="AJ178" t="str">
        <f t="shared" si="14"/>
        <v>C3,H4,N2</v>
      </c>
      <c r="AL178">
        <v>1</v>
      </c>
      <c r="AM178">
        <v>1</v>
      </c>
      <c r="AN178" t="str">
        <f>IF(AM178&lt;&gt;"",CONCATENATE(AC178," &amp; \ce{",SUBSTITUTE(AJ178,","," "),"} &amp; ",SUBSTITUTE(AF178,"."," ")," &amp; ",AL178," &amp; ",AM178," \\"),"")</f>
        <v>IMAZOL &amp; \ce{C3 H4 N2} &amp; Imidazole &amp; 1 &amp; 1 \\</v>
      </c>
    </row>
    <row r="179" spans="1:40" x14ac:dyDescent="0.2">
      <c r="A179" t="s">
        <v>339</v>
      </c>
      <c r="B179" t="s">
        <v>340</v>
      </c>
      <c r="C179">
        <v>10</v>
      </c>
      <c r="D179" t="s">
        <v>341</v>
      </c>
      <c r="E179" t="s">
        <v>342</v>
      </c>
      <c r="F179" t="s">
        <v>8</v>
      </c>
      <c r="G179" t="s">
        <v>2690</v>
      </c>
      <c r="H179" t="s">
        <v>830</v>
      </c>
      <c r="I179" t="s">
        <v>2385</v>
      </c>
      <c r="J179" t="s">
        <v>1345</v>
      </c>
      <c r="K179" t="s">
        <v>898</v>
      </c>
      <c r="L179" t="s">
        <v>1631</v>
      </c>
      <c r="M179" t="s">
        <v>887</v>
      </c>
      <c r="N179">
        <v>2013</v>
      </c>
      <c r="O179" t="s">
        <v>830</v>
      </c>
      <c r="P179" t="s">
        <v>887</v>
      </c>
      <c r="Q179" t="s">
        <v>830</v>
      </c>
      <c r="T179" t="s">
        <v>830</v>
      </c>
      <c r="U179" t="s">
        <v>830</v>
      </c>
      <c r="W179" t="s">
        <v>2692</v>
      </c>
      <c r="X179" t="s">
        <v>2687</v>
      </c>
      <c r="Y179" t="s">
        <v>830</v>
      </c>
      <c r="Z179">
        <v>2</v>
      </c>
      <c r="AA179">
        <v>200</v>
      </c>
      <c r="AB179">
        <v>27.27</v>
      </c>
      <c r="AC179" t="str">
        <f t="shared" si="15"/>
        <v>INDMET</v>
      </c>
      <c r="AD179" t="s">
        <v>341</v>
      </c>
      <c r="AE179" t="str">
        <f t="shared" si="12"/>
        <v>Indomethacin</v>
      </c>
      <c r="AF179" t="str">
        <f>AE179</f>
        <v>Indomethacin</v>
      </c>
      <c r="AG179" s="16" t="s">
        <v>3132</v>
      </c>
      <c r="AH179" s="4" t="s">
        <v>2923</v>
      </c>
      <c r="AI179" t="str">
        <f t="shared" si="13"/>
        <v>CSD,version,6.01,with,Feb,2026,update</v>
      </c>
      <c r="AJ179" t="str">
        <f t="shared" si="14"/>
        <v>C19,H16,N1,O4,Cl1</v>
      </c>
      <c r="AL179">
        <v>1</v>
      </c>
      <c r="AM179">
        <v>3</v>
      </c>
      <c r="AN179" t="str">
        <f>IF(AM179&lt;&gt;"",CONCATENATE(AC179," &amp; \ce{",SUBSTITUTE(AJ179,","," "),"} &amp; ",SUBSTITUTE(AF179,"."," ")," &amp; ",AL179," &amp; ",AM179," \\"),"")</f>
        <v>INDMET &amp; \ce{C19 H16 N1 O4 Cl1} &amp; Indomethacin &amp; 1 &amp; 3 \\</v>
      </c>
    </row>
    <row r="180" spans="1:40" x14ac:dyDescent="0.2">
      <c r="A180" t="s">
        <v>339</v>
      </c>
      <c r="B180" t="s">
        <v>340</v>
      </c>
      <c r="C180">
        <v>20</v>
      </c>
      <c r="D180" t="s">
        <v>341</v>
      </c>
      <c r="E180" t="s">
        <v>342</v>
      </c>
      <c r="F180" t="s">
        <v>8</v>
      </c>
      <c r="G180" t="s">
        <v>2690</v>
      </c>
      <c r="H180" t="s">
        <v>830</v>
      </c>
      <c r="I180" t="s">
        <v>2385</v>
      </c>
      <c r="J180" t="s">
        <v>1346</v>
      </c>
      <c r="K180" t="s">
        <v>898</v>
      </c>
      <c r="L180" t="s">
        <v>2685</v>
      </c>
      <c r="M180" t="s">
        <v>887</v>
      </c>
      <c r="N180">
        <v>2013</v>
      </c>
      <c r="O180" t="s">
        <v>830</v>
      </c>
      <c r="P180" t="s">
        <v>887</v>
      </c>
      <c r="Q180" t="s">
        <v>830</v>
      </c>
      <c r="T180" t="s">
        <v>830</v>
      </c>
      <c r="U180" t="s">
        <v>830</v>
      </c>
      <c r="W180" t="s">
        <v>2692</v>
      </c>
      <c r="X180" t="s">
        <v>2688</v>
      </c>
      <c r="Y180" t="s">
        <v>830</v>
      </c>
      <c r="Z180">
        <v>1</v>
      </c>
      <c r="AA180">
        <v>2948</v>
      </c>
      <c r="AB180">
        <v>35.588000000000001</v>
      </c>
      <c r="AC180" t="str">
        <f t="shared" si="15"/>
        <v/>
      </c>
      <c r="AE180" t="str">
        <f t="shared" si="12"/>
        <v/>
      </c>
      <c r="AI180" t="str">
        <f t="shared" si="13"/>
        <v/>
      </c>
      <c r="AJ180" t="str">
        <f t="shared" si="14"/>
        <v/>
      </c>
      <c r="AN180" t="str">
        <f>IF(AM180&lt;&gt;"",CONCATENATE(AC180," &amp; ",SUBSTITUTE(AJ180,","," ")," &amp; ",SUBSTITUTE(AF180,"."," ")," &amp; ",AL180," &amp; ",AM180," \\"),"")</f>
        <v/>
      </c>
    </row>
    <row r="181" spans="1:40" x14ac:dyDescent="0.2">
      <c r="A181" t="s">
        <v>339</v>
      </c>
      <c r="B181" t="s">
        <v>340</v>
      </c>
      <c r="C181">
        <v>30</v>
      </c>
      <c r="D181" t="s">
        <v>341</v>
      </c>
      <c r="E181" t="s">
        <v>342</v>
      </c>
      <c r="F181" t="s">
        <v>8</v>
      </c>
      <c r="G181" t="s">
        <v>2690</v>
      </c>
      <c r="H181" t="s">
        <v>830</v>
      </c>
      <c r="I181" t="s">
        <v>2385</v>
      </c>
      <c r="J181" t="s">
        <v>1347</v>
      </c>
      <c r="K181" t="s">
        <v>898</v>
      </c>
      <c r="L181" t="s">
        <v>1527</v>
      </c>
      <c r="M181" t="s">
        <v>2691</v>
      </c>
      <c r="N181">
        <v>2013</v>
      </c>
      <c r="O181" t="s">
        <v>830</v>
      </c>
      <c r="P181" t="s">
        <v>2686</v>
      </c>
      <c r="Q181" t="s">
        <v>830</v>
      </c>
      <c r="T181" t="s">
        <v>830</v>
      </c>
      <c r="U181" t="s">
        <v>830</v>
      </c>
      <c r="W181" t="s">
        <v>2692</v>
      </c>
      <c r="X181" t="s">
        <v>2689</v>
      </c>
      <c r="Y181" t="s">
        <v>830</v>
      </c>
      <c r="Z181">
        <v>2</v>
      </c>
      <c r="AA181">
        <v>200</v>
      </c>
      <c r="AB181">
        <v>29.061</v>
      </c>
      <c r="AC181" t="str">
        <f t="shared" si="15"/>
        <v/>
      </c>
      <c r="AE181" t="str">
        <f t="shared" si="12"/>
        <v/>
      </c>
      <c r="AI181" t="str">
        <f t="shared" si="13"/>
        <v/>
      </c>
      <c r="AJ181" t="str">
        <f t="shared" si="14"/>
        <v/>
      </c>
      <c r="AN181" t="str">
        <f>IF(AM181&lt;&gt;"",CONCATENATE(AC181," &amp; ",SUBSTITUTE(AJ181,","," ")," &amp; ",SUBSTITUTE(AF181,"."," ")," &amp; ",AL181," &amp; ",AM181," \\"),"")</f>
        <v/>
      </c>
    </row>
    <row r="182" spans="1:40" x14ac:dyDescent="0.2">
      <c r="A182" t="s">
        <v>343</v>
      </c>
      <c r="B182" t="s">
        <v>344</v>
      </c>
      <c r="C182">
        <v>10</v>
      </c>
      <c r="D182" t="s">
        <v>8</v>
      </c>
      <c r="E182" t="s">
        <v>345</v>
      </c>
      <c r="F182" t="s">
        <v>8</v>
      </c>
      <c r="G182" t="s">
        <v>343</v>
      </c>
      <c r="H182" t="s">
        <v>830</v>
      </c>
      <c r="I182" t="s">
        <v>2385</v>
      </c>
      <c r="J182" t="s">
        <v>1348</v>
      </c>
      <c r="K182" t="s">
        <v>851</v>
      </c>
      <c r="L182" t="s">
        <v>2240</v>
      </c>
      <c r="M182" t="s">
        <v>2591</v>
      </c>
      <c r="N182">
        <v>2011</v>
      </c>
      <c r="O182" t="s">
        <v>830</v>
      </c>
      <c r="P182" t="s">
        <v>2696</v>
      </c>
      <c r="Q182" t="s">
        <v>830</v>
      </c>
      <c r="T182" t="s">
        <v>830</v>
      </c>
      <c r="U182" t="s">
        <v>830</v>
      </c>
      <c r="W182" t="s">
        <v>2692</v>
      </c>
      <c r="X182" t="s">
        <v>2701</v>
      </c>
      <c r="Y182" t="s">
        <v>830</v>
      </c>
      <c r="Z182">
        <v>1</v>
      </c>
      <c r="AA182">
        <v>118</v>
      </c>
      <c r="AB182">
        <v>18.311</v>
      </c>
      <c r="AC182" t="str">
        <f t="shared" si="15"/>
        <v>ISCOFF</v>
      </c>
      <c r="AD182" t="s">
        <v>3264</v>
      </c>
      <c r="AE182" t="str">
        <f t="shared" si="12"/>
        <v>Isocaffeine</v>
      </c>
      <c r="AF182" t="str">
        <f>AE182</f>
        <v>Isocaffeine</v>
      </c>
      <c r="AG182" s="16" t="s">
        <v>3132</v>
      </c>
      <c r="AH182" s="4" t="s">
        <v>2884</v>
      </c>
      <c r="AI182" t="str">
        <f t="shared" si="13"/>
        <v>CSD,version,6.01,with,Feb,2026,update</v>
      </c>
      <c r="AJ182" t="str">
        <f t="shared" si="14"/>
        <v>C8,H10,N4,O2</v>
      </c>
      <c r="AL182">
        <v>1</v>
      </c>
      <c r="AM182">
        <v>1</v>
      </c>
      <c r="AN182" t="str">
        <f>IF(AM182&lt;&gt;"",CONCATENATE(AC182," &amp; \ce{",SUBSTITUTE(AJ182,","," "),"} &amp; ",SUBSTITUTE(AF182,"."," ")," &amp; ",AL182," &amp; ",AM182," \\"),"")</f>
        <v>ISCOFF &amp; \ce{C8 H10 N4 O2} &amp; Isocaffeine &amp; 1 &amp; 1 \\</v>
      </c>
    </row>
    <row r="183" spans="1:40" ht="15" x14ac:dyDescent="0.25">
      <c r="A183" t="s">
        <v>346</v>
      </c>
      <c r="B183" s="17" t="s">
        <v>3055</v>
      </c>
      <c r="C183">
        <v>20</v>
      </c>
      <c r="D183" t="s">
        <v>347</v>
      </c>
      <c r="E183" t="s">
        <v>347</v>
      </c>
      <c r="F183" t="s">
        <v>8</v>
      </c>
      <c r="G183" t="s">
        <v>346</v>
      </c>
      <c r="H183" t="s">
        <v>830</v>
      </c>
      <c r="I183" t="s">
        <v>1952</v>
      </c>
      <c r="J183" t="s">
        <v>1434</v>
      </c>
      <c r="K183" t="s">
        <v>853</v>
      </c>
      <c r="L183" t="s">
        <v>2236</v>
      </c>
      <c r="M183" t="s">
        <v>2589</v>
      </c>
      <c r="N183">
        <v>2011</v>
      </c>
      <c r="O183" t="s">
        <v>830</v>
      </c>
      <c r="P183" t="s">
        <v>2592</v>
      </c>
      <c r="Q183" t="s">
        <v>830</v>
      </c>
      <c r="T183" t="s">
        <v>830</v>
      </c>
      <c r="U183" t="s">
        <v>830</v>
      </c>
      <c r="W183" t="s">
        <v>2250</v>
      </c>
      <c r="X183" t="s">
        <v>2251</v>
      </c>
      <c r="Y183" t="s">
        <v>830</v>
      </c>
      <c r="AA183">
        <v>988</v>
      </c>
      <c r="AB183">
        <v>28.45</v>
      </c>
      <c r="AC183" t="str">
        <f t="shared" si="15"/>
        <v>IYUPEX</v>
      </c>
      <c r="AD183" t="s">
        <v>3140</v>
      </c>
      <c r="AE183" t="str">
        <f t="shared" si="12"/>
        <v>pyridineisophthalicacid</v>
      </c>
      <c r="AF183" t="s">
        <v>3143</v>
      </c>
      <c r="AG183" s="15" t="s">
        <v>2925</v>
      </c>
      <c r="AH183" t="s">
        <v>2884</v>
      </c>
      <c r="AI183" t="str">
        <f t="shared" si="13"/>
        <v>CSD,version,6.01</v>
      </c>
      <c r="AJ183" t="str">
        <f t="shared" si="14"/>
        <v>C8,H6,O4,.,C5,H5,N1</v>
      </c>
      <c r="AL183">
        <v>1</v>
      </c>
      <c r="AM183">
        <v>1</v>
      </c>
      <c r="AN183" t="str">
        <f>IF(AM183&lt;&gt;"",CONCATENATE(AC183," &amp; \ce{",SUBSTITUTE(AJ183,","," "),"} &amp; ",SUBSTITUTE(AF183,"."," ")," &amp; ",AL183," &amp; ",AM183," \\"),"")</f>
        <v>IYUPEX &amp; \ce{C8 H6 O4 . C5 H5 N1} &amp; Pyridine Isophthalic Acid &amp; 1 &amp; 1 \\</v>
      </c>
    </row>
    <row r="184" spans="1:40" ht="15" x14ac:dyDescent="0.25">
      <c r="A184" t="s">
        <v>346</v>
      </c>
      <c r="B184" s="17" t="s">
        <v>3056</v>
      </c>
      <c r="C184">
        <v>21</v>
      </c>
      <c r="D184" t="s">
        <v>348</v>
      </c>
      <c r="E184" t="s">
        <v>348</v>
      </c>
      <c r="F184" t="s">
        <v>8</v>
      </c>
      <c r="G184" t="s">
        <v>346</v>
      </c>
      <c r="H184" t="s">
        <v>830</v>
      </c>
      <c r="I184" t="s">
        <v>1952</v>
      </c>
      <c r="J184" t="s">
        <v>1435</v>
      </c>
      <c r="K184" t="s">
        <v>853</v>
      </c>
      <c r="L184" t="s">
        <v>2236</v>
      </c>
      <c r="M184" t="s">
        <v>2589</v>
      </c>
      <c r="N184">
        <v>2011</v>
      </c>
      <c r="O184" t="s">
        <v>830</v>
      </c>
      <c r="P184" t="s">
        <v>2592</v>
      </c>
      <c r="Q184" t="s">
        <v>830</v>
      </c>
      <c r="T184" t="s">
        <v>830</v>
      </c>
      <c r="U184" t="s">
        <v>830</v>
      </c>
      <c r="W184" t="s">
        <v>2250</v>
      </c>
      <c r="X184" t="s">
        <v>2252</v>
      </c>
      <c r="Y184" t="s">
        <v>830</v>
      </c>
      <c r="AA184">
        <v>888</v>
      </c>
      <c r="AB184">
        <v>30</v>
      </c>
      <c r="AC184" t="s">
        <v>346</v>
      </c>
      <c r="AD184" t="s">
        <v>3141</v>
      </c>
      <c r="AE184" t="str">
        <f t="shared" si="12"/>
        <v>pyridiniumisophthalate</v>
      </c>
      <c r="AF184" t="s">
        <v>3142</v>
      </c>
      <c r="AG184" s="15" t="s">
        <v>2925</v>
      </c>
      <c r="AH184" t="s">
        <v>2884</v>
      </c>
      <c r="AI184" t="str">
        <f t="shared" si="13"/>
        <v>CSD,version,6.01</v>
      </c>
      <c r="AJ184" t="str">
        <f t="shared" si="14"/>
        <v>C8,H5,O4,-,.,C5,H6,N1,+</v>
      </c>
      <c r="AL184">
        <v>1</v>
      </c>
      <c r="AM184">
        <v>1</v>
      </c>
      <c r="AN184" t="str">
        <f>IF(AM184&lt;&gt;"",CONCATENATE(AC184," &amp; \ce{",SUBSTITUTE(AJ184,","," "),"} &amp; ",SUBSTITUTE(AF184,"."," ")," &amp; ",AL184," &amp; ",AM184," \\"),"")</f>
        <v>IYUPEX &amp; \ce{C8 H5 O4 - . C5 H6 N1 +} &amp; Pyridinium Isophthalate &amp; 1 &amp; 1 \\</v>
      </c>
    </row>
    <row r="185" spans="1:40" x14ac:dyDescent="0.2">
      <c r="A185" t="s">
        <v>3427</v>
      </c>
      <c r="B185" t="s">
        <v>636</v>
      </c>
      <c r="C185">
        <v>0</v>
      </c>
      <c r="D185" t="s">
        <v>637</v>
      </c>
      <c r="E185" t="s">
        <v>637</v>
      </c>
      <c r="F185" t="s">
        <v>637</v>
      </c>
      <c r="G185" t="s">
        <v>3427</v>
      </c>
      <c r="H185" t="s">
        <v>830</v>
      </c>
      <c r="I185" t="s">
        <v>3430</v>
      </c>
      <c r="J185" t="s">
        <v>1109</v>
      </c>
      <c r="K185" t="s">
        <v>950</v>
      </c>
      <c r="L185" t="s">
        <v>1553</v>
      </c>
      <c r="M185" s="4" t="s">
        <v>3429</v>
      </c>
      <c r="N185">
        <v>2008</v>
      </c>
      <c r="O185" t="s">
        <v>830</v>
      </c>
      <c r="P185" t="s">
        <v>2055</v>
      </c>
      <c r="Q185" t="s">
        <v>830</v>
      </c>
      <c r="R185" t="s">
        <v>830</v>
      </c>
      <c r="S185" t="s">
        <v>951</v>
      </c>
      <c r="T185" t="s">
        <v>830</v>
      </c>
      <c r="U185" t="s">
        <v>830</v>
      </c>
      <c r="W185" t="s">
        <v>2034</v>
      </c>
      <c r="X185" t="s">
        <v>2071</v>
      </c>
      <c r="Y185" t="s">
        <v>830</v>
      </c>
      <c r="Z185">
        <v>0</v>
      </c>
      <c r="AA185">
        <v>114</v>
      </c>
      <c r="AB185">
        <v>14.94</v>
      </c>
      <c r="AC185" t="str">
        <f t="shared" ref="AC185:AC248" si="16">IF(AND(A185&lt;&gt;A184,T185="Yes"),A185,"")</f>
        <v>JAVRIM</v>
      </c>
      <c r="AD185" t="s">
        <v>3187</v>
      </c>
      <c r="AE185" t="str">
        <f t="shared" si="12"/>
        <v>5aminouracil</v>
      </c>
      <c r="AF185" t="s">
        <v>3188</v>
      </c>
      <c r="AG185" s="15" t="s">
        <v>2894</v>
      </c>
      <c r="AH185" t="s">
        <v>3061</v>
      </c>
      <c r="AI185" t="str">
        <f t="shared" si="13"/>
        <v>being,added,to,CSD,version,6.01</v>
      </c>
      <c r="AJ185" t="str">
        <f t="shared" si="14"/>
        <v>C4,H5,N3,O2</v>
      </c>
      <c r="AK185" s="8"/>
      <c r="AL185" s="8">
        <v>1</v>
      </c>
      <c r="AM185" s="8">
        <v>1</v>
      </c>
      <c r="AN185" t="str">
        <f>IF(AM185&lt;&gt;"",CONCATENATE(AC185," &amp; \ce{",SUBSTITUTE(AJ185,","," "),"} &amp; ",SUBSTITUTE(AF185,"."," ")," &amp; ",AL185," &amp; ",AM185," \\"),"")</f>
        <v>JAVRIM &amp; \ce{C4 H5 N3 O2} &amp; 5-Aminouracil &amp; 1 &amp; 1 \\</v>
      </c>
    </row>
    <row r="186" spans="1:40" x14ac:dyDescent="0.2">
      <c r="A186" t="s">
        <v>2198</v>
      </c>
      <c r="B186" t="s">
        <v>2203</v>
      </c>
      <c r="C186">
        <v>10</v>
      </c>
      <c r="D186" t="s">
        <v>1000</v>
      </c>
      <c r="E186" t="s">
        <v>1001</v>
      </c>
      <c r="F186" t="s">
        <v>1000</v>
      </c>
      <c r="G186" t="s">
        <v>2197</v>
      </c>
      <c r="H186" t="s">
        <v>830</v>
      </c>
      <c r="I186" t="s">
        <v>1952</v>
      </c>
      <c r="J186" t="s">
        <v>1004</v>
      </c>
      <c r="K186" t="s">
        <v>839</v>
      </c>
      <c r="L186" t="s">
        <v>1002</v>
      </c>
      <c r="M186" t="s">
        <v>1886</v>
      </c>
      <c r="N186" t="s">
        <v>1003</v>
      </c>
      <c r="O186" t="s">
        <v>830</v>
      </c>
      <c r="P186" t="s">
        <v>2196</v>
      </c>
      <c r="Q186" t="s">
        <v>830</v>
      </c>
      <c r="T186" t="s">
        <v>830</v>
      </c>
      <c r="U186" t="s">
        <v>830</v>
      </c>
      <c r="W186" t="s">
        <v>2250</v>
      </c>
      <c r="X186" t="s">
        <v>2199</v>
      </c>
      <c r="Y186" t="s">
        <v>830</v>
      </c>
      <c r="Z186">
        <v>2</v>
      </c>
      <c r="AA186">
        <v>500</v>
      </c>
      <c r="AB186">
        <v>63.625</v>
      </c>
      <c r="AC186" t="str">
        <f t="shared" si="16"/>
        <v>JEKVII</v>
      </c>
      <c r="AD186" s="4" t="s">
        <v>2990</v>
      </c>
      <c r="AE186" t="str">
        <f t="shared" si="12"/>
        <v>BTXXXII</v>
      </c>
      <c r="AF186" s="4" t="s">
        <v>2989</v>
      </c>
      <c r="AG186" s="16" t="s">
        <v>2925</v>
      </c>
      <c r="AH186" s="4" t="s">
        <v>2948</v>
      </c>
      <c r="AI186" t="str">
        <f t="shared" si="13"/>
        <v>CSD,version,6.01</v>
      </c>
      <c r="AJ186" t="str">
        <f t="shared" si="14"/>
        <v>C29,H32,N8,O4,F2,S1</v>
      </c>
      <c r="AK186" t="s">
        <v>3059</v>
      </c>
      <c r="AL186">
        <v>2</v>
      </c>
      <c r="AM186">
        <v>4</v>
      </c>
      <c r="AN186" t="str">
        <f>IF(AM186&lt;&gt;"",CONCATENATE(AC186," &amp; \ce{",SUBSTITUTE(AJ186,","," "),"} &amp; ",SUBSTITUTE(AF186,"."," ")," &amp; ",AL186," &amp; ",AM186," \\"),"")</f>
        <v>JEKVII &amp; \ce{C29 H32 N8 O4 F2 S1} &amp; Blind Test XXXII (JEKVII) &amp; 2 &amp; 4 \\</v>
      </c>
    </row>
    <row r="187" spans="1:40" x14ac:dyDescent="0.2">
      <c r="A187" t="s">
        <v>2198</v>
      </c>
      <c r="B187" t="s">
        <v>2203</v>
      </c>
      <c r="C187">
        <v>20</v>
      </c>
      <c r="D187" t="s">
        <v>1000</v>
      </c>
      <c r="E187" t="s">
        <v>1001</v>
      </c>
      <c r="F187" t="s">
        <v>1000</v>
      </c>
      <c r="G187" t="s">
        <v>2197</v>
      </c>
      <c r="H187" t="s">
        <v>830</v>
      </c>
      <c r="I187" t="s">
        <v>1952</v>
      </c>
      <c r="J187" t="s">
        <v>1006</v>
      </c>
      <c r="K187" t="s">
        <v>839</v>
      </c>
      <c r="L187" t="s">
        <v>1005</v>
      </c>
      <c r="M187" t="s">
        <v>2195</v>
      </c>
      <c r="N187" t="s">
        <v>968</v>
      </c>
      <c r="O187" t="s">
        <v>830</v>
      </c>
      <c r="P187" t="s">
        <v>891</v>
      </c>
      <c r="Q187" t="s">
        <v>830</v>
      </c>
      <c r="T187" t="s">
        <v>830</v>
      </c>
      <c r="U187" t="s">
        <v>830</v>
      </c>
      <c r="W187" t="s">
        <v>2250</v>
      </c>
      <c r="X187" t="s">
        <v>2200</v>
      </c>
      <c r="Y187" t="s">
        <v>830</v>
      </c>
      <c r="Z187">
        <v>0</v>
      </c>
      <c r="AA187">
        <v>15042</v>
      </c>
      <c r="AB187">
        <v>55.94</v>
      </c>
      <c r="AC187" t="str">
        <f t="shared" si="16"/>
        <v/>
      </c>
      <c r="AE187" t="str">
        <f t="shared" si="12"/>
        <v/>
      </c>
      <c r="AI187" t="str">
        <f t="shared" si="13"/>
        <v/>
      </c>
      <c r="AJ187" t="str">
        <f t="shared" si="14"/>
        <v/>
      </c>
      <c r="AN187" t="str">
        <f>IF(AM187&lt;&gt;"",CONCATENATE(AC187," &amp; ",SUBSTITUTE(AJ187,","," ")," &amp; ",SUBSTITUTE(AF187,"."," ")," &amp; ",AL187," &amp; ",AM187," \\"),"")</f>
        <v/>
      </c>
    </row>
    <row r="188" spans="1:40" x14ac:dyDescent="0.2">
      <c r="A188" t="s">
        <v>2198</v>
      </c>
      <c r="B188" t="s">
        <v>2203</v>
      </c>
      <c r="C188">
        <v>60</v>
      </c>
      <c r="D188" t="s">
        <v>1000</v>
      </c>
      <c r="E188" t="s">
        <v>1001</v>
      </c>
      <c r="F188" t="s">
        <v>1000</v>
      </c>
      <c r="G188" t="s">
        <v>2197</v>
      </c>
      <c r="H188" t="s">
        <v>830</v>
      </c>
      <c r="I188" t="s">
        <v>1952</v>
      </c>
      <c r="J188" t="s">
        <v>2193</v>
      </c>
      <c r="K188" t="s">
        <v>839</v>
      </c>
      <c r="L188" t="s">
        <v>2194</v>
      </c>
      <c r="M188" t="s">
        <v>1887</v>
      </c>
      <c r="N188" t="s">
        <v>1007</v>
      </c>
      <c r="O188" t="s">
        <v>830</v>
      </c>
      <c r="P188" t="s">
        <v>891</v>
      </c>
      <c r="Q188" t="s">
        <v>830</v>
      </c>
      <c r="T188" t="s">
        <v>830</v>
      </c>
      <c r="U188" t="s">
        <v>830</v>
      </c>
      <c r="W188" t="s">
        <v>2250</v>
      </c>
      <c r="X188" t="s">
        <v>2201</v>
      </c>
      <c r="Y188" t="s">
        <v>830</v>
      </c>
      <c r="Z188">
        <v>0</v>
      </c>
      <c r="AA188">
        <v>9976</v>
      </c>
      <c r="AB188">
        <v>50</v>
      </c>
      <c r="AC188" t="str">
        <f t="shared" si="16"/>
        <v/>
      </c>
      <c r="AE188" t="str">
        <f t="shared" si="12"/>
        <v/>
      </c>
      <c r="AI188" t="str">
        <f t="shared" si="13"/>
        <v/>
      </c>
      <c r="AJ188" t="str">
        <f t="shared" si="14"/>
        <v/>
      </c>
      <c r="AN188" t="str">
        <f>IF(AM188&lt;&gt;"",CONCATENATE(AC188," &amp; ",SUBSTITUTE(AJ188,","," ")," &amp; ",SUBSTITUTE(AF188,"."," ")," &amp; ",AL188," &amp; ",AM188," \\"),"")</f>
        <v/>
      </c>
    </row>
    <row r="189" spans="1:40" x14ac:dyDescent="0.2">
      <c r="A189" t="s">
        <v>2198</v>
      </c>
      <c r="B189" t="s">
        <v>2203</v>
      </c>
      <c r="C189">
        <v>61</v>
      </c>
      <c r="D189" t="s">
        <v>1000</v>
      </c>
      <c r="E189" t="s">
        <v>1001</v>
      </c>
      <c r="F189" t="s">
        <v>1000</v>
      </c>
      <c r="G189" t="s">
        <v>2197</v>
      </c>
      <c r="H189" t="s">
        <v>830</v>
      </c>
      <c r="I189" t="s">
        <v>1952</v>
      </c>
      <c r="J189" t="s">
        <v>1009</v>
      </c>
      <c r="K189" t="s">
        <v>839</v>
      </c>
      <c r="L189" t="s">
        <v>1008</v>
      </c>
      <c r="M189" t="s">
        <v>2195</v>
      </c>
      <c r="N189" t="s">
        <v>976</v>
      </c>
      <c r="O189" t="s">
        <v>830</v>
      </c>
      <c r="P189" t="s">
        <v>891</v>
      </c>
      <c r="Q189" t="s">
        <v>830</v>
      </c>
      <c r="T189" t="s">
        <v>830</v>
      </c>
      <c r="U189" t="s">
        <v>830</v>
      </c>
      <c r="W189" t="s">
        <v>2250</v>
      </c>
      <c r="X189" t="s">
        <v>2202</v>
      </c>
      <c r="Y189" t="s">
        <v>830</v>
      </c>
      <c r="Z189">
        <v>2</v>
      </c>
      <c r="AA189">
        <v>500</v>
      </c>
      <c r="AB189">
        <v>129.983</v>
      </c>
      <c r="AC189" t="str">
        <f t="shared" si="16"/>
        <v/>
      </c>
      <c r="AE189" t="str">
        <f t="shared" si="12"/>
        <v/>
      </c>
      <c r="AI189" t="str">
        <f t="shared" si="13"/>
        <v/>
      </c>
      <c r="AJ189" t="str">
        <f t="shared" si="14"/>
        <v/>
      </c>
      <c r="AN189" t="str">
        <f>IF(AM189&lt;&gt;"",CONCATENATE(AC189," &amp; ",SUBSTITUTE(AJ189,","," ")," &amp; ",SUBSTITUTE(AF189,"."," ")," &amp; ",AL189," &amp; ",AM189," \\"),"")</f>
        <v/>
      </c>
    </row>
    <row r="190" spans="1:40" s="8" customFormat="1" x14ac:dyDescent="0.2">
      <c r="A190" t="s">
        <v>349</v>
      </c>
      <c r="B190" t="s">
        <v>117</v>
      </c>
      <c r="C190">
        <v>0</v>
      </c>
      <c r="D190" t="s">
        <v>350</v>
      </c>
      <c r="E190" t="s">
        <v>351</v>
      </c>
      <c r="F190" t="s">
        <v>352</v>
      </c>
      <c r="G190" t="s">
        <v>349</v>
      </c>
      <c r="H190" t="s">
        <v>830</v>
      </c>
      <c r="I190" t="s">
        <v>1557</v>
      </c>
      <c r="J190" t="s">
        <v>1088</v>
      </c>
      <c r="K190" t="s">
        <v>846</v>
      </c>
      <c r="L190" t="s">
        <v>1553</v>
      </c>
      <c r="M190" t="s">
        <v>1559</v>
      </c>
      <c r="N190" t="s">
        <v>1561</v>
      </c>
      <c r="O190" t="s">
        <v>830</v>
      </c>
      <c r="P190" t="s">
        <v>1751</v>
      </c>
      <c r="Q190" t="s">
        <v>830</v>
      </c>
      <c r="R190"/>
      <c r="S190"/>
      <c r="T190" t="s">
        <v>830</v>
      </c>
      <c r="U190" t="s">
        <v>830</v>
      </c>
      <c r="V190"/>
      <c r="W190" t="s">
        <v>1731</v>
      </c>
      <c r="X190" t="s">
        <v>1756</v>
      </c>
      <c r="Y190" t="s">
        <v>830</v>
      </c>
      <c r="Z190">
        <v>1</v>
      </c>
      <c r="AA190">
        <v>153</v>
      </c>
      <c r="AB190">
        <v>7</v>
      </c>
      <c r="AC190" t="str">
        <f t="shared" si="16"/>
        <v>JIWQEM</v>
      </c>
      <c r="AD190" t="s">
        <v>3098</v>
      </c>
      <c r="AE190" t="str">
        <f t="shared" si="12"/>
        <v>24-dichloronitrobenzene</v>
      </c>
      <c r="AF190" t="s">
        <v>3445</v>
      </c>
      <c r="AG190" s="15" t="s">
        <v>2889</v>
      </c>
      <c r="AH190" t="s">
        <v>3123</v>
      </c>
      <c r="AI190" t="str">
        <f t="shared" si="13"/>
        <v>CSD,version,5.44,with,April,2023,update</v>
      </c>
      <c r="AJ190" t="str">
        <f t="shared" si="14"/>
        <v>C6,H3,N1,O2,Cl2</v>
      </c>
      <c r="AK190" t="s">
        <v>3124</v>
      </c>
      <c r="AL190">
        <v>2</v>
      </c>
      <c r="AM190">
        <v>4</v>
      </c>
      <c r="AN190" t="str">
        <f>IF(AM190&lt;&gt;"",CONCATENATE(AC190," &amp; \ce{",SUBSTITUTE(AJ190,","," "),"} &amp; ",SUBSTITUTE(AF190,"."," ")," &amp; ",AL190," &amp; ",AM190," \\"),"")</f>
        <v>JIWQEM &amp; \ce{C6 H3 N1 O2 Cl2} &amp; 2,4-dichloronitrobenzene &amp; 2 &amp; 4 \\</v>
      </c>
    </row>
    <row r="191" spans="1:40" ht="15" x14ac:dyDescent="0.25">
      <c r="A191" t="s">
        <v>349</v>
      </c>
      <c r="B191" s="17" t="s">
        <v>117</v>
      </c>
      <c r="C191">
        <v>10</v>
      </c>
      <c r="D191" t="s">
        <v>350</v>
      </c>
      <c r="E191" t="s">
        <v>351</v>
      </c>
      <c r="F191" t="s">
        <v>352</v>
      </c>
      <c r="G191" t="s">
        <v>349</v>
      </c>
      <c r="H191" t="s">
        <v>830</v>
      </c>
      <c r="I191" t="s">
        <v>1557</v>
      </c>
      <c r="J191" t="s">
        <v>1568</v>
      </c>
      <c r="K191" t="s">
        <v>839</v>
      </c>
      <c r="L191" t="s">
        <v>1472</v>
      </c>
      <c r="M191" t="s">
        <v>876</v>
      </c>
      <c r="N191" t="s">
        <v>1562</v>
      </c>
      <c r="O191" t="s">
        <v>830</v>
      </c>
      <c r="P191" t="s">
        <v>1751</v>
      </c>
      <c r="Q191" t="s">
        <v>830</v>
      </c>
      <c r="T191" t="s">
        <v>830</v>
      </c>
      <c r="U191" t="s">
        <v>830</v>
      </c>
      <c r="W191" t="s">
        <v>1731</v>
      </c>
      <c r="X191" t="s">
        <v>1757</v>
      </c>
      <c r="Y191" t="s">
        <v>830</v>
      </c>
      <c r="Z191">
        <v>1</v>
      </c>
      <c r="AA191">
        <v>3567</v>
      </c>
      <c r="AB191">
        <v>20</v>
      </c>
      <c r="AC191" t="str">
        <f t="shared" si="16"/>
        <v/>
      </c>
      <c r="AE191" t="str">
        <f t="shared" si="12"/>
        <v/>
      </c>
      <c r="AI191" t="str">
        <f t="shared" si="13"/>
        <v/>
      </c>
      <c r="AJ191" t="str">
        <f t="shared" si="14"/>
        <v/>
      </c>
      <c r="AN191" t="str">
        <f>IF(AM191&lt;&gt;"",CONCATENATE(AC191," &amp; ",SUBSTITUTE(AJ191,","," ")," &amp; ",SUBSTITUTE(AF191,"."," ")," &amp; ",AL191," &amp; ",AM191," \\"),"")</f>
        <v/>
      </c>
    </row>
    <row r="192" spans="1:40" ht="15" x14ac:dyDescent="0.25">
      <c r="A192" t="s">
        <v>349</v>
      </c>
      <c r="B192" s="17" t="s">
        <v>117</v>
      </c>
      <c r="C192">
        <v>20</v>
      </c>
      <c r="D192" t="s">
        <v>350</v>
      </c>
      <c r="E192" t="s">
        <v>351</v>
      </c>
      <c r="F192" t="s">
        <v>352</v>
      </c>
      <c r="G192" t="s">
        <v>349</v>
      </c>
      <c r="H192" t="s">
        <v>830</v>
      </c>
      <c r="I192" t="s">
        <v>1557</v>
      </c>
      <c r="J192" t="s">
        <v>1569</v>
      </c>
      <c r="K192" t="s">
        <v>839</v>
      </c>
      <c r="L192" t="s">
        <v>1560</v>
      </c>
      <c r="M192" t="s">
        <v>876</v>
      </c>
      <c r="N192" t="s">
        <v>1562</v>
      </c>
      <c r="O192" t="s">
        <v>830</v>
      </c>
      <c r="P192" t="s">
        <v>1751</v>
      </c>
      <c r="Q192" t="s">
        <v>830</v>
      </c>
      <c r="T192" t="s">
        <v>830</v>
      </c>
      <c r="U192" t="s">
        <v>830</v>
      </c>
      <c r="W192" t="s">
        <v>1731</v>
      </c>
      <c r="X192" t="s">
        <v>1758</v>
      </c>
      <c r="Y192" t="s">
        <v>830</v>
      </c>
      <c r="Z192">
        <v>1</v>
      </c>
      <c r="AA192">
        <v>4107</v>
      </c>
      <c r="AB192">
        <v>20</v>
      </c>
      <c r="AC192" t="str">
        <f t="shared" si="16"/>
        <v/>
      </c>
      <c r="AE192" t="str">
        <f t="shared" si="12"/>
        <v/>
      </c>
      <c r="AI192" t="str">
        <f t="shared" si="13"/>
        <v/>
      </c>
      <c r="AJ192" t="str">
        <f t="shared" si="14"/>
        <v/>
      </c>
      <c r="AK192" s="8"/>
      <c r="AL192" s="8"/>
      <c r="AM192" s="8"/>
      <c r="AN192" t="str">
        <f>IF(AM192&lt;&gt;"",CONCATENATE(AC192," &amp; ",SUBSTITUTE(AJ192,","," ")," &amp; ",SUBSTITUTE(AF192,"."," ")," &amp; ",AL192," &amp; ",AM192," \\"),"")</f>
        <v/>
      </c>
    </row>
    <row r="193" spans="1:40" ht="15" x14ac:dyDescent="0.25">
      <c r="A193" s="4" t="s">
        <v>349</v>
      </c>
      <c r="B193" s="17" t="s">
        <v>117</v>
      </c>
      <c r="C193" s="4">
        <v>30</v>
      </c>
      <c r="D193" s="4" t="s">
        <v>350</v>
      </c>
      <c r="E193" s="4" t="s">
        <v>351</v>
      </c>
      <c r="F193" s="4" t="s">
        <v>352</v>
      </c>
      <c r="G193" s="4" t="s">
        <v>349</v>
      </c>
      <c r="H193" t="s">
        <v>830</v>
      </c>
      <c r="I193" t="s">
        <v>1557</v>
      </c>
      <c r="J193" t="s">
        <v>1570</v>
      </c>
      <c r="K193" t="s">
        <v>839</v>
      </c>
      <c r="L193" t="s">
        <v>1565</v>
      </c>
      <c r="M193" t="s">
        <v>876</v>
      </c>
      <c r="N193" t="s">
        <v>1562</v>
      </c>
      <c r="O193" t="s">
        <v>830</v>
      </c>
      <c r="P193" t="s">
        <v>1751</v>
      </c>
      <c r="Q193" t="s">
        <v>830</v>
      </c>
      <c r="T193" t="s">
        <v>830</v>
      </c>
      <c r="U193" t="s">
        <v>830</v>
      </c>
      <c r="W193" t="s">
        <v>1731</v>
      </c>
      <c r="X193" t="s">
        <v>1759</v>
      </c>
      <c r="Y193" t="s">
        <v>830</v>
      </c>
      <c r="Z193">
        <v>1</v>
      </c>
      <c r="AA193" s="4">
        <v>3567</v>
      </c>
      <c r="AB193" s="4">
        <v>20</v>
      </c>
      <c r="AC193" t="str">
        <f t="shared" si="16"/>
        <v/>
      </c>
      <c r="AE193" t="str">
        <f t="shared" si="12"/>
        <v/>
      </c>
      <c r="AI193" t="str">
        <f t="shared" si="13"/>
        <v/>
      </c>
      <c r="AJ193" t="str">
        <f t="shared" si="14"/>
        <v/>
      </c>
      <c r="AN193" t="str">
        <f>IF(AM193&lt;&gt;"",CONCATENATE(AC193," &amp; ",SUBSTITUTE(AJ193,","," ")," &amp; ",SUBSTITUTE(AF193,"."," ")," &amp; ",AL193," &amp; ",AM193," \\"),"")</f>
        <v/>
      </c>
    </row>
    <row r="194" spans="1:40" ht="15" x14ac:dyDescent="0.25">
      <c r="A194" t="s">
        <v>353</v>
      </c>
      <c r="B194" s="17" t="s">
        <v>634</v>
      </c>
      <c r="C194">
        <v>0</v>
      </c>
      <c r="D194" t="s">
        <v>354</v>
      </c>
      <c r="E194" t="s">
        <v>354</v>
      </c>
      <c r="F194" t="s">
        <v>354</v>
      </c>
      <c r="G194" t="s">
        <v>353</v>
      </c>
      <c r="H194" t="s">
        <v>830</v>
      </c>
      <c r="I194" t="s">
        <v>1952</v>
      </c>
      <c r="J194" t="s">
        <v>1094</v>
      </c>
      <c r="K194" t="s">
        <v>843</v>
      </c>
      <c r="L194" t="s">
        <v>1553</v>
      </c>
      <c r="M194" t="s">
        <v>909</v>
      </c>
      <c r="N194" t="s">
        <v>1876</v>
      </c>
      <c r="O194" t="s">
        <v>830</v>
      </c>
      <c r="P194" t="s">
        <v>2031</v>
      </c>
      <c r="Q194" t="s">
        <v>830</v>
      </c>
      <c r="T194" t="s">
        <v>830</v>
      </c>
      <c r="U194" t="s">
        <v>830</v>
      </c>
      <c r="W194" t="s">
        <v>2034</v>
      </c>
      <c r="X194" t="s">
        <v>2035</v>
      </c>
      <c r="Y194" t="s">
        <v>830</v>
      </c>
      <c r="Z194">
        <v>1</v>
      </c>
      <c r="AA194">
        <v>883</v>
      </c>
      <c r="AB194">
        <v>47.67</v>
      </c>
      <c r="AC194" t="str">
        <f t="shared" si="16"/>
        <v>JIXCIC</v>
      </c>
      <c r="AD194" t="s">
        <v>2893</v>
      </c>
      <c r="AE194" t="str">
        <f t="shared" ref="AE194:AE257" si="17">IF(AC194="","",MID(X194,1,(FIND("_",X194))-1))</f>
        <v>2aminobenzamide</v>
      </c>
      <c r="AF194" t="s">
        <v>354</v>
      </c>
      <c r="AG194" s="15" t="s">
        <v>2894</v>
      </c>
      <c r="AH194" t="s">
        <v>2884</v>
      </c>
      <c r="AI194" t="str">
        <f t="shared" ref="AI194:AI257" si="18">IF(AC194="","",SUBSTITUTE(IF(MID(I194,1,5)="Yes, ",MID(I194,6,100),I194)," ",","))</f>
        <v>CSD,version,6.01</v>
      </c>
      <c r="AJ194" t="str">
        <f t="shared" ref="AJ194:AJ257" si="19">IF(AC194="","",SUBSTITUTE(B194," ",","))</f>
        <v>C7,H8,N2,O1</v>
      </c>
      <c r="AL194">
        <v>1</v>
      </c>
      <c r="AM194">
        <v>1</v>
      </c>
      <c r="AN194" t="str">
        <f>IF(AM194&lt;&gt;"",CONCATENATE(AC194," &amp; \ce{",SUBSTITUTE(AJ194,","," "),"} &amp; ",SUBSTITUTE(AF194,"."," ")," &amp; ",AL194," &amp; ",AM194," \\"),"")</f>
        <v>JIXCIC &amp; \ce{C7 H8 N2 O1} &amp; 2-aminobenzamide &amp; 1 &amp; 1 \\</v>
      </c>
    </row>
    <row r="195" spans="1:40" ht="15" x14ac:dyDescent="0.25">
      <c r="A195" t="s">
        <v>365</v>
      </c>
      <c r="B195" s="17" t="s">
        <v>3019</v>
      </c>
      <c r="C195">
        <v>10</v>
      </c>
      <c r="D195" t="s">
        <v>366</v>
      </c>
      <c r="E195" t="s">
        <v>367</v>
      </c>
      <c r="F195" t="s">
        <v>368</v>
      </c>
      <c r="G195" t="s">
        <v>1524</v>
      </c>
      <c r="H195" t="s">
        <v>830</v>
      </c>
      <c r="I195" t="s">
        <v>1477</v>
      </c>
      <c r="J195" t="s">
        <v>1504</v>
      </c>
      <c r="K195" t="s">
        <v>864</v>
      </c>
      <c r="L195" t="s">
        <v>1526</v>
      </c>
      <c r="M195" t="s">
        <v>887</v>
      </c>
      <c r="N195">
        <v>2011</v>
      </c>
      <c r="O195" t="s">
        <v>830</v>
      </c>
      <c r="P195" t="s">
        <v>1520</v>
      </c>
      <c r="Q195" t="s">
        <v>830</v>
      </c>
      <c r="T195" t="s">
        <v>830</v>
      </c>
      <c r="U195" t="s">
        <v>830</v>
      </c>
      <c r="W195" t="s">
        <v>1778</v>
      </c>
      <c r="X195" t="s">
        <v>1784</v>
      </c>
      <c r="Y195" t="s">
        <v>830</v>
      </c>
      <c r="Z195">
        <v>4</v>
      </c>
      <c r="AA195">
        <v>48</v>
      </c>
      <c r="AB195">
        <v>32.088000000000001</v>
      </c>
      <c r="AC195" t="str">
        <f t="shared" si="16"/>
        <v>KAXXAI</v>
      </c>
      <c r="AD195" t="s">
        <v>3085</v>
      </c>
      <c r="AE195" t="str">
        <f t="shared" si="17"/>
        <v>TolfenamicAcid</v>
      </c>
      <c r="AF195" t="s">
        <v>3444</v>
      </c>
      <c r="AG195" s="15" t="s">
        <v>3081</v>
      </c>
      <c r="AH195" s="4" t="s">
        <v>3086</v>
      </c>
      <c r="AI195" t="str">
        <f t="shared" si="18"/>
        <v>CSD,version,5.43,with,Mar,,Jun,,Sep,and,Nov,2022,updates</v>
      </c>
      <c r="AJ195" t="str">
        <f t="shared" si="19"/>
        <v>C14,H12,N1,O2,Cl1</v>
      </c>
      <c r="AK195" t="s">
        <v>3057</v>
      </c>
      <c r="AL195">
        <v>2</v>
      </c>
      <c r="AM195">
        <v>6</v>
      </c>
      <c r="AN195" t="str">
        <f>IF(AM195&lt;&gt;"",CONCATENATE(AC195," &amp; \ce{",SUBSTITUTE(AJ195,","," "),"} &amp; ",SUBSTITUTE(AF195,"."," ")," &amp; ",AL195," &amp; ",AM195," \\"),"")</f>
        <v>KAXXAI &amp; \ce{C14 H12 N1 O2 Cl1} &amp; Tolfenamic Acid &amp; 2 &amp; 6 \\</v>
      </c>
    </row>
    <row r="196" spans="1:40" ht="15" x14ac:dyDescent="0.25">
      <c r="A196" t="s">
        <v>365</v>
      </c>
      <c r="B196" s="17" t="s">
        <v>3019</v>
      </c>
      <c r="C196">
        <v>11</v>
      </c>
      <c r="D196" t="s">
        <v>366</v>
      </c>
      <c r="E196" t="s">
        <v>367</v>
      </c>
      <c r="F196" t="s">
        <v>368</v>
      </c>
      <c r="G196" t="s">
        <v>1524</v>
      </c>
      <c r="H196" t="s">
        <v>830</v>
      </c>
      <c r="I196" t="s">
        <v>1477</v>
      </c>
      <c r="J196" t="s">
        <v>1505</v>
      </c>
      <c r="K196" t="s">
        <v>839</v>
      </c>
      <c r="L196" t="s">
        <v>1522</v>
      </c>
      <c r="M196" t="s">
        <v>1520</v>
      </c>
      <c r="N196">
        <v>2016</v>
      </c>
      <c r="O196" t="s">
        <v>830</v>
      </c>
      <c r="P196" t="s">
        <v>1520</v>
      </c>
      <c r="Q196" t="s">
        <v>830</v>
      </c>
      <c r="T196" t="s">
        <v>830</v>
      </c>
      <c r="U196" t="s">
        <v>830</v>
      </c>
      <c r="W196" t="s">
        <v>1778</v>
      </c>
      <c r="X196" t="s">
        <v>1787</v>
      </c>
      <c r="Y196" t="s">
        <v>830</v>
      </c>
      <c r="Z196">
        <v>8</v>
      </c>
      <c r="AA196">
        <v>668</v>
      </c>
      <c r="AB196">
        <v>20</v>
      </c>
      <c r="AC196" t="str">
        <f t="shared" si="16"/>
        <v/>
      </c>
      <c r="AE196" t="str">
        <f t="shared" si="17"/>
        <v/>
      </c>
      <c r="AI196" t="str">
        <f t="shared" si="18"/>
        <v/>
      </c>
      <c r="AJ196" t="str">
        <f t="shared" si="19"/>
        <v/>
      </c>
      <c r="AN196" t="str">
        <f>IF(AM196&lt;&gt;"",CONCATENATE(AC196," &amp; ",SUBSTITUTE(AJ196,","," ")," &amp; ",SUBSTITUTE(AF196,"."," ")," &amp; ",AL196," &amp; ",AM196," \\"),"")</f>
        <v/>
      </c>
    </row>
    <row r="197" spans="1:40" ht="12.75" customHeight="1" x14ac:dyDescent="0.25">
      <c r="A197" s="4" t="s">
        <v>365</v>
      </c>
      <c r="B197" s="17" t="s">
        <v>3019</v>
      </c>
      <c r="C197" s="4">
        <v>12</v>
      </c>
      <c r="D197" s="4" t="s">
        <v>366</v>
      </c>
      <c r="E197" s="4" t="s">
        <v>367</v>
      </c>
      <c r="F197" s="4" t="s">
        <v>368</v>
      </c>
      <c r="G197" s="4" t="s">
        <v>1611</v>
      </c>
      <c r="H197" t="s">
        <v>830</v>
      </c>
      <c r="I197" t="s">
        <v>1477</v>
      </c>
      <c r="J197" t="s">
        <v>1612</v>
      </c>
      <c r="K197" t="s">
        <v>839</v>
      </c>
      <c r="L197" t="s">
        <v>1613</v>
      </c>
      <c r="M197" t="s">
        <v>1586</v>
      </c>
      <c r="N197">
        <v>2024</v>
      </c>
      <c r="O197" t="s">
        <v>830</v>
      </c>
      <c r="P197" t="s">
        <v>1520</v>
      </c>
      <c r="Q197" t="s">
        <v>830</v>
      </c>
      <c r="R197" t="s">
        <v>830</v>
      </c>
      <c r="S197" t="s">
        <v>830</v>
      </c>
      <c r="T197" t="s">
        <v>830</v>
      </c>
      <c r="U197" t="s">
        <v>830</v>
      </c>
      <c r="W197" t="s">
        <v>1778</v>
      </c>
      <c r="X197" t="s">
        <v>1789</v>
      </c>
      <c r="Y197" t="s">
        <v>830</v>
      </c>
      <c r="Z197">
        <v>8</v>
      </c>
      <c r="AA197" s="4">
        <v>17</v>
      </c>
      <c r="AB197" s="4">
        <v>35.223999999999997</v>
      </c>
      <c r="AC197" t="str">
        <f t="shared" si="16"/>
        <v/>
      </c>
      <c r="AE197" t="str">
        <f t="shared" si="17"/>
        <v/>
      </c>
      <c r="AI197" t="str">
        <f t="shared" si="18"/>
        <v/>
      </c>
      <c r="AJ197" t="str">
        <f t="shared" si="19"/>
        <v/>
      </c>
      <c r="AN197" t="str">
        <f>IF(AM197&lt;&gt;"",CONCATENATE(AC197," &amp; ",SUBSTITUTE(AJ197,","," ")," &amp; ",SUBSTITUTE(AF197,"."," ")," &amp; ",AL197," &amp; ",AM197," \\"),"")</f>
        <v/>
      </c>
    </row>
    <row r="198" spans="1:40" ht="15" x14ac:dyDescent="0.25">
      <c r="A198" t="s">
        <v>365</v>
      </c>
      <c r="B198" s="17" t="s">
        <v>3019</v>
      </c>
      <c r="C198">
        <v>21</v>
      </c>
      <c r="D198" t="s">
        <v>366</v>
      </c>
      <c r="E198" t="s">
        <v>367</v>
      </c>
      <c r="F198" t="s">
        <v>368</v>
      </c>
      <c r="G198" t="s">
        <v>1524</v>
      </c>
      <c r="H198" t="s">
        <v>830</v>
      </c>
      <c r="I198" t="s">
        <v>1477</v>
      </c>
      <c r="J198" t="s">
        <v>1506</v>
      </c>
      <c r="K198" t="s">
        <v>839</v>
      </c>
      <c r="L198" t="s">
        <v>1521</v>
      </c>
      <c r="M198" t="s">
        <v>1520</v>
      </c>
      <c r="N198">
        <v>2016</v>
      </c>
      <c r="O198" t="s">
        <v>830</v>
      </c>
      <c r="P198" t="s">
        <v>1520</v>
      </c>
      <c r="Q198" t="s">
        <v>830</v>
      </c>
      <c r="T198" t="s">
        <v>830</v>
      </c>
      <c r="U198" t="s">
        <v>830</v>
      </c>
      <c r="W198" t="s">
        <v>1778</v>
      </c>
      <c r="X198" t="s">
        <v>1786</v>
      </c>
      <c r="Y198" t="s">
        <v>830</v>
      </c>
      <c r="Z198">
        <v>5</v>
      </c>
      <c r="AA198">
        <v>1872</v>
      </c>
      <c r="AB198">
        <v>20</v>
      </c>
      <c r="AC198" t="str">
        <f t="shared" si="16"/>
        <v/>
      </c>
      <c r="AE198" t="str">
        <f t="shared" si="17"/>
        <v/>
      </c>
      <c r="AI198" t="str">
        <f t="shared" si="18"/>
        <v/>
      </c>
      <c r="AJ198" t="str">
        <f t="shared" si="19"/>
        <v/>
      </c>
      <c r="AN198" t="str">
        <f>IF(AM198&lt;&gt;"",CONCATENATE(AC198," &amp; ",SUBSTITUTE(AJ198,","," ")," &amp; ",SUBSTITUTE(AF198,"."," ")," &amp; ",AL198," &amp; ",AM198," \\"),"")</f>
        <v/>
      </c>
    </row>
    <row r="199" spans="1:40" ht="15" x14ac:dyDescent="0.25">
      <c r="A199" t="s">
        <v>365</v>
      </c>
      <c r="B199" s="17" t="s">
        <v>3019</v>
      </c>
      <c r="C199">
        <v>30</v>
      </c>
      <c r="D199" t="s">
        <v>366</v>
      </c>
      <c r="E199" t="s">
        <v>367</v>
      </c>
      <c r="F199" t="s">
        <v>368</v>
      </c>
      <c r="G199" t="s">
        <v>1524</v>
      </c>
      <c r="H199" t="s">
        <v>830</v>
      </c>
      <c r="I199" t="s">
        <v>1477</v>
      </c>
      <c r="J199" t="s">
        <v>1507</v>
      </c>
      <c r="K199" t="s">
        <v>864</v>
      </c>
      <c r="L199" t="s">
        <v>1527</v>
      </c>
      <c r="M199" t="s">
        <v>2594</v>
      </c>
      <c r="N199">
        <v>2011</v>
      </c>
      <c r="O199" t="s">
        <v>830</v>
      </c>
      <c r="P199" t="s">
        <v>1520</v>
      </c>
      <c r="Q199" t="s">
        <v>830</v>
      </c>
      <c r="T199" t="s">
        <v>830</v>
      </c>
      <c r="U199" t="s">
        <v>830</v>
      </c>
      <c r="W199" t="s">
        <v>1778</v>
      </c>
      <c r="X199" t="s">
        <v>1785</v>
      </c>
      <c r="Y199" t="s">
        <v>830</v>
      </c>
      <c r="Z199">
        <v>3</v>
      </c>
      <c r="AA199">
        <v>39</v>
      </c>
      <c r="AB199">
        <v>36.61</v>
      </c>
      <c r="AC199" t="str">
        <f t="shared" si="16"/>
        <v/>
      </c>
      <c r="AE199" t="str">
        <f t="shared" si="17"/>
        <v/>
      </c>
      <c r="AI199" t="str">
        <f t="shared" si="18"/>
        <v/>
      </c>
      <c r="AJ199" t="str">
        <f t="shared" si="19"/>
        <v/>
      </c>
      <c r="AN199" t="str">
        <f>IF(AM199&lt;&gt;"",CONCATENATE(AC199," &amp; ",SUBSTITUTE(AJ199,","," ")," &amp; ",SUBSTITUTE(AF199,"."," ")," &amp; ",AL199," &amp; ",AM199," \\"),"")</f>
        <v/>
      </c>
    </row>
    <row r="200" spans="1:40" ht="15" x14ac:dyDescent="0.25">
      <c r="A200" t="s">
        <v>365</v>
      </c>
      <c r="B200" s="17" t="s">
        <v>3019</v>
      </c>
      <c r="C200">
        <v>31</v>
      </c>
      <c r="D200" t="s">
        <v>366</v>
      </c>
      <c r="E200" t="s">
        <v>367</v>
      </c>
      <c r="F200" t="s">
        <v>368</v>
      </c>
      <c r="G200" t="s">
        <v>1524</v>
      </c>
      <c r="H200" t="s">
        <v>830</v>
      </c>
      <c r="I200" t="s">
        <v>1477</v>
      </c>
      <c r="J200" t="s">
        <v>1508</v>
      </c>
      <c r="K200" t="s">
        <v>839</v>
      </c>
      <c r="L200" t="s">
        <v>1523</v>
      </c>
      <c r="M200" t="s">
        <v>914</v>
      </c>
      <c r="N200">
        <v>2016</v>
      </c>
      <c r="O200" t="s">
        <v>830</v>
      </c>
      <c r="P200" t="s">
        <v>1525</v>
      </c>
      <c r="Q200" t="s">
        <v>830</v>
      </c>
      <c r="T200" t="s">
        <v>830</v>
      </c>
      <c r="U200" t="s">
        <v>830</v>
      </c>
      <c r="W200" t="s">
        <v>1778</v>
      </c>
      <c r="X200" t="s">
        <v>1788</v>
      </c>
      <c r="Y200" t="s">
        <v>830</v>
      </c>
      <c r="Z200">
        <v>8</v>
      </c>
      <c r="AA200">
        <v>668</v>
      </c>
      <c r="AB200">
        <v>26.241</v>
      </c>
      <c r="AC200" t="str">
        <f t="shared" si="16"/>
        <v/>
      </c>
      <c r="AE200" t="str">
        <f t="shared" si="17"/>
        <v/>
      </c>
      <c r="AI200" t="str">
        <f t="shared" si="18"/>
        <v/>
      </c>
      <c r="AJ200" t="str">
        <f t="shared" si="19"/>
        <v/>
      </c>
      <c r="AN200" t="str">
        <f>IF(AM200&lt;&gt;"",CONCATENATE(AC200," &amp; ",SUBSTITUTE(AJ200,","," ")," &amp; ",SUBSTITUTE(AF200,"."," ")," &amp; ",AL200," &amp; ",AM200," \\"),"")</f>
        <v/>
      </c>
    </row>
    <row r="201" spans="1:40" x14ac:dyDescent="0.2">
      <c r="A201" t="s">
        <v>1066</v>
      </c>
      <c r="B201" t="s">
        <v>292</v>
      </c>
      <c r="C201">
        <v>0</v>
      </c>
      <c r="D201" t="s">
        <v>293</v>
      </c>
      <c r="E201" t="s">
        <v>294</v>
      </c>
      <c r="F201" t="s">
        <v>295</v>
      </c>
      <c r="G201" s="4" t="s">
        <v>1792</v>
      </c>
      <c r="H201" t="s">
        <v>830</v>
      </c>
      <c r="I201" t="s">
        <v>1538</v>
      </c>
      <c r="J201" t="s">
        <v>1198</v>
      </c>
      <c r="K201" t="s">
        <v>838</v>
      </c>
      <c r="L201" t="s">
        <v>1793</v>
      </c>
      <c r="M201" t="s">
        <v>876</v>
      </c>
      <c r="N201">
        <v>2005</v>
      </c>
      <c r="O201" t="s">
        <v>830</v>
      </c>
      <c r="P201" t="s">
        <v>1796</v>
      </c>
      <c r="Q201" t="s">
        <v>830</v>
      </c>
      <c r="T201" t="s">
        <v>830</v>
      </c>
      <c r="U201" t="s">
        <v>830</v>
      </c>
      <c r="W201" t="s">
        <v>1797</v>
      </c>
      <c r="X201" t="s">
        <v>1802</v>
      </c>
      <c r="Y201" t="s">
        <v>830</v>
      </c>
      <c r="Z201">
        <v>0</v>
      </c>
      <c r="AA201">
        <v>40</v>
      </c>
      <c r="AB201">
        <v>12.64</v>
      </c>
      <c r="AC201" t="str">
        <f t="shared" si="16"/>
        <v>KEMDOW</v>
      </c>
      <c r="AD201" s="4" t="s">
        <v>293</v>
      </c>
      <c r="AE201" t="str">
        <f t="shared" si="17"/>
        <v>Guanine</v>
      </c>
      <c r="AF201" t="str">
        <f>AE201</f>
        <v>Guanine</v>
      </c>
      <c r="AG201" s="16" t="s">
        <v>3128</v>
      </c>
      <c r="AH201" s="4" t="s">
        <v>3135</v>
      </c>
      <c r="AI201" t="str">
        <f t="shared" si="18"/>
        <v>CSD,version,5.44,with,Jun,and,Sep,2023,updates</v>
      </c>
      <c r="AJ201" t="str">
        <f t="shared" si="19"/>
        <v>C5,H5,N5,O1</v>
      </c>
      <c r="AL201">
        <v>3</v>
      </c>
      <c r="AM201">
        <v>3</v>
      </c>
      <c r="AN201" t="str">
        <f>IF(AM201&lt;&gt;"",CONCATENATE(AC201," &amp; \ce{",SUBSTITUTE(AJ201,","," "),"} &amp; ",SUBSTITUTE(AF201,"."," ")," &amp; ",AL201," &amp; ",AM201," \\"),"")</f>
        <v>KEMDOW &amp; \ce{C5 H5 N5 O1} &amp; Guanine &amp; 3 &amp; 3 \\</v>
      </c>
    </row>
    <row r="202" spans="1:40" x14ac:dyDescent="0.2">
      <c r="A202" t="s">
        <v>1066</v>
      </c>
      <c r="B202" t="s">
        <v>292</v>
      </c>
      <c r="C202">
        <v>1</v>
      </c>
      <c r="D202" t="s">
        <v>293</v>
      </c>
      <c r="E202" t="s">
        <v>294</v>
      </c>
      <c r="F202" t="s">
        <v>295</v>
      </c>
      <c r="G202" s="4" t="s">
        <v>1792</v>
      </c>
      <c r="H202" t="s">
        <v>830</v>
      </c>
      <c r="I202" t="s">
        <v>1538</v>
      </c>
      <c r="J202" t="s">
        <v>1197</v>
      </c>
      <c r="K202" t="s">
        <v>838</v>
      </c>
      <c r="L202" t="s">
        <v>1793</v>
      </c>
      <c r="M202" t="s">
        <v>876</v>
      </c>
      <c r="N202">
        <v>2005</v>
      </c>
      <c r="O202" t="s">
        <v>830</v>
      </c>
      <c r="P202" t="s">
        <v>1796</v>
      </c>
      <c r="Q202" t="s">
        <v>830</v>
      </c>
      <c r="T202" t="s">
        <v>830</v>
      </c>
      <c r="U202" t="s">
        <v>830</v>
      </c>
      <c r="W202" t="s">
        <v>1797</v>
      </c>
      <c r="X202" t="s">
        <v>1800</v>
      </c>
      <c r="Y202" t="s">
        <v>830</v>
      </c>
      <c r="Z202">
        <v>2</v>
      </c>
      <c r="AA202">
        <v>46</v>
      </c>
      <c r="AB202">
        <v>17.64</v>
      </c>
      <c r="AC202" t="str">
        <f t="shared" si="16"/>
        <v/>
      </c>
      <c r="AE202" t="str">
        <f t="shared" si="17"/>
        <v/>
      </c>
      <c r="AI202" t="str">
        <f t="shared" si="18"/>
        <v/>
      </c>
      <c r="AJ202" t="str">
        <f t="shared" si="19"/>
        <v/>
      </c>
      <c r="AN202" t="str">
        <f>IF(AM202&lt;&gt;"",CONCATENATE(AC202," &amp; ",SUBSTITUTE(AJ202,","," ")," &amp; ",SUBSTITUTE(AF202,"."," ")," &amp; ",AL202," &amp; ",AM202," \\"),"")</f>
        <v/>
      </c>
    </row>
    <row r="203" spans="1:40" x14ac:dyDescent="0.2">
      <c r="A203" t="s">
        <v>1066</v>
      </c>
      <c r="B203" t="s">
        <v>292</v>
      </c>
      <c r="C203">
        <v>2</v>
      </c>
      <c r="D203" t="s">
        <v>293</v>
      </c>
      <c r="E203" t="s">
        <v>294</v>
      </c>
      <c r="F203" t="s">
        <v>295</v>
      </c>
      <c r="G203" s="4" t="s">
        <v>1792</v>
      </c>
      <c r="H203" t="s">
        <v>830</v>
      </c>
      <c r="I203" t="s">
        <v>1538</v>
      </c>
      <c r="J203" t="s">
        <v>1199</v>
      </c>
      <c r="K203" t="s">
        <v>838</v>
      </c>
      <c r="L203" t="s">
        <v>1793</v>
      </c>
      <c r="M203" t="s">
        <v>876</v>
      </c>
      <c r="N203">
        <v>2005</v>
      </c>
      <c r="O203" t="s">
        <v>830</v>
      </c>
      <c r="P203" t="s">
        <v>1796</v>
      </c>
      <c r="Q203" t="s">
        <v>830</v>
      </c>
      <c r="T203" t="s">
        <v>830</v>
      </c>
      <c r="U203" t="s">
        <v>830</v>
      </c>
      <c r="W203" t="s">
        <v>1797</v>
      </c>
      <c r="X203" t="s">
        <v>1801</v>
      </c>
      <c r="Y203" t="s">
        <v>830</v>
      </c>
      <c r="Z203">
        <v>0</v>
      </c>
      <c r="AA203">
        <v>23</v>
      </c>
      <c r="AB203">
        <v>10</v>
      </c>
      <c r="AC203" t="str">
        <f t="shared" si="16"/>
        <v/>
      </c>
      <c r="AE203" t="str">
        <f t="shared" si="17"/>
        <v/>
      </c>
      <c r="AI203" t="str">
        <f t="shared" si="18"/>
        <v/>
      </c>
      <c r="AJ203" t="str">
        <f t="shared" si="19"/>
        <v/>
      </c>
      <c r="AN203" t="str">
        <f>IF(AM203&lt;&gt;"",CONCATENATE(AC203," &amp; ",SUBSTITUTE(AJ203,","," ")," &amp; ",SUBSTITUTE(AF203,"."," ")," &amp; ",AL203," &amp; ",AM203," \\"),"")</f>
        <v/>
      </c>
    </row>
    <row r="204" spans="1:40" ht="15" x14ac:dyDescent="0.25">
      <c r="A204" t="s">
        <v>1066</v>
      </c>
      <c r="B204" s="17" t="s">
        <v>292</v>
      </c>
      <c r="C204">
        <v>3</v>
      </c>
      <c r="D204" t="s">
        <v>293</v>
      </c>
      <c r="E204" t="s">
        <v>294</v>
      </c>
      <c r="F204" t="s">
        <v>295</v>
      </c>
      <c r="G204" s="4" t="s">
        <v>1794</v>
      </c>
      <c r="H204" t="s">
        <v>830</v>
      </c>
      <c r="I204" t="s">
        <v>1538</v>
      </c>
      <c r="J204" t="s">
        <v>2398</v>
      </c>
      <c r="K204" t="s">
        <v>838</v>
      </c>
      <c r="L204" t="s">
        <v>1795</v>
      </c>
      <c r="M204" t="s">
        <v>876</v>
      </c>
      <c r="N204">
        <v>2005</v>
      </c>
      <c r="O204" t="s">
        <v>830</v>
      </c>
      <c r="P204" t="s">
        <v>1796</v>
      </c>
      <c r="Q204" t="s">
        <v>830</v>
      </c>
      <c r="T204" t="s">
        <v>830</v>
      </c>
      <c r="U204" t="s">
        <v>830</v>
      </c>
      <c r="W204" t="s">
        <v>1797</v>
      </c>
      <c r="X204" t="s">
        <v>1803</v>
      </c>
      <c r="Y204" t="s">
        <v>830</v>
      </c>
      <c r="Z204">
        <v>1</v>
      </c>
      <c r="AA204">
        <v>109</v>
      </c>
      <c r="AB204">
        <v>83.87</v>
      </c>
      <c r="AC204" t="str">
        <f t="shared" si="16"/>
        <v/>
      </c>
      <c r="AE204" t="str">
        <f t="shared" si="17"/>
        <v/>
      </c>
      <c r="AI204" t="str">
        <f t="shared" si="18"/>
        <v/>
      </c>
      <c r="AJ204" t="str">
        <f t="shared" si="19"/>
        <v/>
      </c>
      <c r="AN204" t="str">
        <f>IF(AM204&lt;&gt;"",CONCATENATE(AC204," &amp; ",SUBSTITUTE(AJ204,","," ")," &amp; ",SUBSTITUTE(AF204,"."," ")," &amp; ",AL204," &amp; ",AM204," \\"),"")</f>
        <v/>
      </c>
    </row>
    <row r="205" spans="1:40" x14ac:dyDescent="0.2">
      <c r="A205" s="4" t="s">
        <v>21</v>
      </c>
      <c r="B205" t="s">
        <v>17</v>
      </c>
      <c r="C205">
        <v>0</v>
      </c>
      <c r="D205" t="s">
        <v>18</v>
      </c>
      <c r="E205" t="s">
        <v>19</v>
      </c>
      <c r="F205" t="s">
        <v>20</v>
      </c>
      <c r="G205" t="s">
        <v>2216</v>
      </c>
      <c r="H205" t="s">
        <v>830</v>
      </c>
      <c r="I205" t="s">
        <v>1952</v>
      </c>
      <c r="J205" t="s">
        <v>1122</v>
      </c>
      <c r="K205" t="s">
        <v>838</v>
      </c>
      <c r="L205" t="s">
        <v>2217</v>
      </c>
      <c r="M205" t="s">
        <v>876</v>
      </c>
      <c r="N205">
        <v>2004</v>
      </c>
      <c r="O205" t="s">
        <v>830</v>
      </c>
      <c r="P205" t="s">
        <v>877</v>
      </c>
      <c r="Q205" t="s">
        <v>830</v>
      </c>
      <c r="T205" t="s">
        <v>830</v>
      </c>
      <c r="U205" t="s">
        <v>830</v>
      </c>
      <c r="W205" t="s">
        <v>2250</v>
      </c>
      <c r="X205" t="s">
        <v>2221</v>
      </c>
      <c r="Y205" t="s">
        <v>830</v>
      </c>
      <c r="Z205">
        <v>1</v>
      </c>
      <c r="AA205">
        <v>28</v>
      </c>
      <c r="AB205">
        <v>8.49</v>
      </c>
      <c r="AC205" t="str">
        <f t="shared" si="16"/>
        <v>KOBFUD</v>
      </c>
      <c r="AD205" t="s">
        <v>18</v>
      </c>
      <c r="AE205" t="str">
        <f t="shared" si="17"/>
        <v>Adenine</v>
      </c>
      <c r="AF205" t="str">
        <f>AE205</f>
        <v>Adenine</v>
      </c>
      <c r="AG205" s="15" t="s">
        <v>2925</v>
      </c>
      <c r="AH205" t="s">
        <v>2897</v>
      </c>
      <c r="AI205" t="str">
        <f t="shared" si="18"/>
        <v>CSD,version,6.01</v>
      </c>
      <c r="AJ205" t="str">
        <f t="shared" si="19"/>
        <v>C5,H5,N5</v>
      </c>
      <c r="AL205">
        <v>2</v>
      </c>
      <c r="AM205">
        <v>2</v>
      </c>
      <c r="AN205" t="str">
        <f>IF(AM205&lt;&gt;"",CONCATENATE(AC205," &amp; \ce{",SUBSTITUTE(AJ205,","," "),"} &amp; ",SUBSTITUTE(AF205,"."," ")," &amp; ",AL205," &amp; ",AM205," \\"),"")</f>
        <v>KOBFUD &amp; \ce{C5 H5 N5} &amp; Adenine &amp; 2 &amp; 2 \\</v>
      </c>
    </row>
    <row r="206" spans="1:40" x14ac:dyDescent="0.2">
      <c r="A206" t="s">
        <v>21</v>
      </c>
      <c r="B206" t="s">
        <v>17</v>
      </c>
      <c r="C206">
        <v>20</v>
      </c>
      <c r="D206" t="s">
        <v>18</v>
      </c>
      <c r="E206" t="s">
        <v>369</v>
      </c>
      <c r="F206" t="s">
        <v>2219</v>
      </c>
      <c r="G206" t="s">
        <v>2216</v>
      </c>
      <c r="H206" t="s">
        <v>830</v>
      </c>
      <c r="I206" t="s">
        <v>1952</v>
      </c>
      <c r="J206" t="s">
        <v>3270</v>
      </c>
      <c r="K206" t="s">
        <v>839</v>
      </c>
      <c r="L206" t="s">
        <v>2220</v>
      </c>
      <c r="M206" t="s">
        <v>876</v>
      </c>
      <c r="N206">
        <v>2013</v>
      </c>
      <c r="O206" t="s">
        <v>830</v>
      </c>
      <c r="P206" t="s">
        <v>2218</v>
      </c>
      <c r="Q206" t="s">
        <v>830</v>
      </c>
      <c r="T206" t="s">
        <v>830</v>
      </c>
      <c r="U206" t="s">
        <v>830</v>
      </c>
      <c r="W206" t="s">
        <v>2250</v>
      </c>
      <c r="X206" t="s">
        <v>2222</v>
      </c>
      <c r="Y206" t="s">
        <v>830</v>
      </c>
      <c r="Z206">
        <v>2</v>
      </c>
      <c r="AA206">
        <v>746</v>
      </c>
      <c r="AB206">
        <v>38.51</v>
      </c>
      <c r="AC206" t="str">
        <f t="shared" si="16"/>
        <v/>
      </c>
      <c r="AE206" t="str">
        <f t="shared" si="17"/>
        <v/>
      </c>
      <c r="AI206" t="str">
        <f t="shared" si="18"/>
        <v/>
      </c>
      <c r="AJ206" t="str">
        <f t="shared" si="19"/>
        <v/>
      </c>
      <c r="AN206" t="str">
        <f>IF(AM206&lt;&gt;"",CONCATENATE(AC206," &amp; ",SUBSTITUTE(AJ206,","," ")," &amp; ",SUBSTITUTE(AF206,"."," ")," &amp; ",AL206," &amp; ",AM206," \\"),"")</f>
        <v/>
      </c>
    </row>
    <row r="207" spans="1:40" x14ac:dyDescent="0.2">
      <c r="A207" s="7" t="s">
        <v>21</v>
      </c>
      <c r="B207" s="8" t="s">
        <v>17</v>
      </c>
      <c r="C207" s="8">
        <v>1</v>
      </c>
      <c r="D207" s="8" t="s">
        <v>18</v>
      </c>
      <c r="E207" s="8" t="s">
        <v>19</v>
      </c>
      <c r="F207" s="8" t="s">
        <v>20</v>
      </c>
      <c r="G207" s="8" t="s">
        <v>21</v>
      </c>
      <c r="H207" t="str">
        <f>IF(AND(I207&lt;&gt;"",J207&lt;&gt;"",K207&lt;&gt;"",L207&lt;&gt;"",M207&lt;&gt;"",N207&lt;&gt;""),"Ready","")</f>
        <v/>
      </c>
      <c r="I207" t="s">
        <v>2506</v>
      </c>
      <c r="J207" t="s">
        <v>2205</v>
      </c>
      <c r="M207" t="s">
        <v>923</v>
      </c>
      <c r="T207" t="s">
        <v>1598</v>
      </c>
      <c r="W207" t="s">
        <v>2206</v>
      </c>
      <c r="X207" t="s">
        <v>1649</v>
      </c>
      <c r="Y207" t="s">
        <v>1598</v>
      </c>
      <c r="AA207" s="8">
        <v>18</v>
      </c>
      <c r="AB207" s="8">
        <v>8.2799999999999994</v>
      </c>
      <c r="AC207" t="str">
        <f t="shared" si="16"/>
        <v/>
      </c>
      <c r="AE207" t="str">
        <f t="shared" si="17"/>
        <v/>
      </c>
      <c r="AI207" t="str">
        <f t="shared" si="18"/>
        <v/>
      </c>
      <c r="AJ207" t="str">
        <f t="shared" si="19"/>
        <v/>
      </c>
      <c r="AN207" t="str">
        <f>IF(AM207&lt;&gt;"",CONCATENATE(AC207," &amp; ",SUBSTITUTE(AJ207,","," ")," &amp; ",SUBSTITUTE(AF207,"."," ")," &amp; ",AL207," &amp; ",AM207," \\"),"")</f>
        <v/>
      </c>
    </row>
    <row r="208" spans="1:40" s="4" customFormat="1" x14ac:dyDescent="0.2">
      <c r="A208" t="s">
        <v>1079</v>
      </c>
      <c r="B208" t="s">
        <v>712</v>
      </c>
      <c r="C208">
        <v>10</v>
      </c>
      <c r="D208" t="s">
        <v>713</v>
      </c>
      <c r="E208" t="s">
        <v>714</v>
      </c>
      <c r="F208" t="s">
        <v>8</v>
      </c>
      <c r="G208" t="s">
        <v>2781</v>
      </c>
      <c r="H208" t="s">
        <v>830</v>
      </c>
      <c r="I208" t="s">
        <v>2841</v>
      </c>
      <c r="J208" t="s">
        <v>1466</v>
      </c>
      <c r="K208" t="s">
        <v>839</v>
      </c>
      <c r="L208" t="s">
        <v>2782</v>
      </c>
      <c r="M208" t="s">
        <v>876</v>
      </c>
      <c r="N208">
        <v>2019</v>
      </c>
      <c r="O208" t="s">
        <v>830</v>
      </c>
      <c r="P208" t="s">
        <v>896</v>
      </c>
      <c r="Q208" t="s">
        <v>830</v>
      </c>
      <c r="R208"/>
      <c r="S208"/>
      <c r="T208" t="s">
        <v>830</v>
      </c>
      <c r="U208" t="s">
        <v>830</v>
      </c>
      <c r="V208"/>
      <c r="W208" t="s">
        <v>2861</v>
      </c>
      <c r="X208" t="s">
        <v>2855</v>
      </c>
      <c r="Y208" t="s">
        <v>830</v>
      </c>
      <c r="Z208">
        <v>0</v>
      </c>
      <c r="AA208">
        <v>457</v>
      </c>
      <c r="AB208">
        <v>10</v>
      </c>
      <c r="AC208" t="str">
        <f t="shared" si="16"/>
        <v>KOHCUI</v>
      </c>
      <c r="AD208" t="s">
        <v>713</v>
      </c>
      <c r="AE208" t="str">
        <f t="shared" si="17"/>
        <v>Trifluoroethanol</v>
      </c>
      <c r="AF208" t="str">
        <f>AE208</f>
        <v>Trifluoroethanol</v>
      </c>
      <c r="AG208" s="15" t="s">
        <v>2887</v>
      </c>
      <c r="AH208" t="s">
        <v>2922</v>
      </c>
      <c r="AI208" t="str">
        <f t="shared" si="18"/>
        <v>CSD,version,6.01,with,Feb,and,May,2026,updates</v>
      </c>
      <c r="AJ208" t="str">
        <f t="shared" si="19"/>
        <v>C2,H3,O1,F3</v>
      </c>
      <c r="AK208"/>
      <c r="AL208">
        <v>2</v>
      </c>
      <c r="AM208">
        <v>2</v>
      </c>
      <c r="AN208" t="str">
        <f>IF(AM208&lt;&gt;"",CONCATENATE(AC208," &amp; \ce{",SUBSTITUTE(AJ208,","," "),"} &amp; ",SUBSTITUTE(AF208,"."," ")," &amp; ",AL208," &amp; ",AM208," \\"),"")</f>
        <v>KOHCUI &amp; \ce{C2 H3 O1 F3} &amp; Trifluoroethanol &amp; 2 &amp; 2 \\</v>
      </c>
    </row>
    <row r="209" spans="1:40" x14ac:dyDescent="0.2">
      <c r="A209" t="s">
        <v>1079</v>
      </c>
      <c r="B209" t="s">
        <v>712</v>
      </c>
      <c r="C209">
        <v>11</v>
      </c>
      <c r="D209" t="s">
        <v>713</v>
      </c>
      <c r="E209" t="s">
        <v>714</v>
      </c>
      <c r="F209" t="s">
        <v>8</v>
      </c>
      <c r="G209" t="s">
        <v>2781</v>
      </c>
      <c r="H209" t="s">
        <v>830</v>
      </c>
      <c r="I209" t="s">
        <v>2841</v>
      </c>
      <c r="J209" t="s">
        <v>1467</v>
      </c>
      <c r="K209" t="s">
        <v>839</v>
      </c>
      <c r="L209" t="s">
        <v>2782</v>
      </c>
      <c r="M209" t="s">
        <v>876</v>
      </c>
      <c r="N209">
        <v>2019</v>
      </c>
      <c r="O209" t="s">
        <v>830</v>
      </c>
      <c r="P209" t="s">
        <v>2857</v>
      </c>
      <c r="Q209" t="s">
        <v>830</v>
      </c>
      <c r="T209" t="s">
        <v>830</v>
      </c>
      <c r="U209" t="s">
        <v>830</v>
      </c>
      <c r="W209" t="s">
        <v>2861</v>
      </c>
      <c r="X209" t="s">
        <v>2856</v>
      </c>
      <c r="Y209" t="s">
        <v>830</v>
      </c>
      <c r="Z209">
        <v>3</v>
      </c>
      <c r="AA209">
        <v>8159</v>
      </c>
      <c r="AB209">
        <v>16.173999999999999</v>
      </c>
      <c r="AC209" t="str">
        <f t="shared" si="16"/>
        <v/>
      </c>
      <c r="AE209" t="str">
        <f t="shared" si="17"/>
        <v/>
      </c>
      <c r="AI209" t="str">
        <f t="shared" si="18"/>
        <v/>
      </c>
      <c r="AJ209" t="str">
        <f t="shared" si="19"/>
        <v/>
      </c>
      <c r="AN209" t="str">
        <f>IF(AM209&lt;&gt;"",CONCATENATE(AC209," &amp; ",SUBSTITUTE(AJ209,","," ")," &amp; ",SUBSTITUTE(AF209,"."," ")," &amp; ",AL209," &amp; ",AM209," \\"),"")</f>
        <v/>
      </c>
    </row>
    <row r="210" spans="1:40" ht="15" x14ac:dyDescent="0.25">
      <c r="A210" t="s">
        <v>370</v>
      </c>
      <c r="B210" s="17" t="s">
        <v>3020</v>
      </c>
      <c r="C210">
        <v>10</v>
      </c>
      <c r="D210" t="s">
        <v>371</v>
      </c>
      <c r="E210" t="s">
        <v>372</v>
      </c>
      <c r="F210" t="s">
        <v>2253</v>
      </c>
      <c r="G210" t="s">
        <v>2261</v>
      </c>
      <c r="H210" t="s">
        <v>830</v>
      </c>
      <c r="I210" t="s">
        <v>1952</v>
      </c>
      <c r="J210" t="s">
        <v>1273</v>
      </c>
      <c r="K210" t="s">
        <v>898</v>
      </c>
      <c r="L210" t="s">
        <v>1667</v>
      </c>
      <c r="M210" t="s">
        <v>2258</v>
      </c>
      <c r="N210">
        <v>2010</v>
      </c>
      <c r="O210" t="s">
        <v>830</v>
      </c>
      <c r="P210" t="s">
        <v>896</v>
      </c>
      <c r="Q210" t="s">
        <v>830</v>
      </c>
      <c r="T210" t="s">
        <v>830</v>
      </c>
      <c r="U210" t="s">
        <v>830</v>
      </c>
      <c r="W210" t="s">
        <v>2269</v>
      </c>
      <c r="X210" t="s">
        <v>2944</v>
      </c>
      <c r="Y210" t="s">
        <v>830</v>
      </c>
      <c r="Z210">
        <v>4</v>
      </c>
      <c r="AA210">
        <v>270</v>
      </c>
      <c r="AB210">
        <v>20</v>
      </c>
      <c r="AC210" t="str">
        <f t="shared" si="16"/>
        <v>KONTIQ</v>
      </c>
      <c r="AD210" t="s">
        <v>2950</v>
      </c>
      <c r="AE210" t="str">
        <f t="shared" si="17"/>
        <v>GallicAcidMH</v>
      </c>
      <c r="AF210" t="s">
        <v>2949</v>
      </c>
      <c r="AG210" s="15" t="s">
        <v>2919</v>
      </c>
      <c r="AH210" t="s">
        <v>2948</v>
      </c>
      <c r="AI210" t="str">
        <f t="shared" si="18"/>
        <v>CSD,version,6.01</v>
      </c>
      <c r="AJ210" t="str">
        <f t="shared" si="19"/>
        <v>C7,H6,O5,.,H2,O1</v>
      </c>
      <c r="AK210" s="4" t="s">
        <v>3059</v>
      </c>
      <c r="AL210" s="4">
        <v>2</v>
      </c>
      <c r="AM210" s="4">
        <v>4</v>
      </c>
      <c r="AN210" t="str">
        <f>IF(AM210&lt;&gt;"",CONCATENATE(AC210," &amp; \ce{",SUBSTITUTE(AJ210,","," "),"} &amp; ",SUBSTITUTE(AF210,"."," ")," &amp; ",AL210," &amp; ",AM210," \\"),"")</f>
        <v>KONTIQ &amp; \ce{C7 H6 O5 . H2 O1} &amp; Gallic Acid Monohydrate (Blind Test XXI) &amp; 2 &amp; 4 \\</v>
      </c>
    </row>
    <row r="211" spans="1:40" ht="15" x14ac:dyDescent="0.25">
      <c r="A211" t="s">
        <v>370</v>
      </c>
      <c r="B211" s="17" t="s">
        <v>3020</v>
      </c>
      <c r="C211">
        <v>11</v>
      </c>
      <c r="D211" t="s">
        <v>371</v>
      </c>
      <c r="E211" t="s">
        <v>372</v>
      </c>
      <c r="F211" t="s">
        <v>2253</v>
      </c>
      <c r="G211" t="s">
        <v>2261</v>
      </c>
      <c r="H211" t="s">
        <v>830</v>
      </c>
      <c r="I211" t="s">
        <v>1952</v>
      </c>
      <c r="J211" t="s">
        <v>1274</v>
      </c>
      <c r="K211" t="s">
        <v>898</v>
      </c>
      <c r="L211" t="s">
        <v>2260</v>
      </c>
      <c r="M211" t="s">
        <v>2258</v>
      </c>
      <c r="N211">
        <v>2010</v>
      </c>
      <c r="O211" t="s">
        <v>830</v>
      </c>
      <c r="P211" t="s">
        <v>2264</v>
      </c>
      <c r="Q211" t="s">
        <v>830</v>
      </c>
      <c r="T211" t="s">
        <v>830</v>
      </c>
      <c r="U211" t="s">
        <v>830</v>
      </c>
      <c r="W211" t="s">
        <v>2269</v>
      </c>
      <c r="X211" t="s">
        <v>2945</v>
      </c>
      <c r="Y211" t="s">
        <v>830</v>
      </c>
      <c r="Z211">
        <v>3</v>
      </c>
      <c r="AA211">
        <v>301</v>
      </c>
      <c r="AB211">
        <v>13.183999999999999</v>
      </c>
      <c r="AC211" t="str">
        <f t="shared" si="16"/>
        <v/>
      </c>
      <c r="AE211" t="str">
        <f t="shared" si="17"/>
        <v/>
      </c>
      <c r="AI211" t="str">
        <f t="shared" si="18"/>
        <v/>
      </c>
      <c r="AJ211" t="str">
        <f t="shared" si="19"/>
        <v/>
      </c>
      <c r="AN211" t="str">
        <f>IF(AM211&lt;&gt;"",CONCATENATE(AC211," &amp; ",SUBSTITUTE(AJ211,","," ")," &amp; ",SUBSTITUTE(AF211,"."," ")," &amp; ",AL211," &amp; ",AM211," \\"),"")</f>
        <v/>
      </c>
    </row>
    <row r="212" spans="1:40" ht="15" x14ac:dyDescent="0.25">
      <c r="A212" t="s">
        <v>370</v>
      </c>
      <c r="B212" s="17" t="s">
        <v>3020</v>
      </c>
      <c r="C212">
        <v>20</v>
      </c>
      <c r="D212" t="s">
        <v>371</v>
      </c>
      <c r="E212" t="s">
        <v>372</v>
      </c>
      <c r="F212" t="s">
        <v>2253</v>
      </c>
      <c r="G212" t="s">
        <v>2261</v>
      </c>
      <c r="H212" t="s">
        <v>830</v>
      </c>
      <c r="I212" t="s">
        <v>1952</v>
      </c>
      <c r="J212" t="s">
        <v>1275</v>
      </c>
      <c r="K212" t="s">
        <v>898</v>
      </c>
      <c r="L212" t="s">
        <v>2233</v>
      </c>
      <c r="M212" t="s">
        <v>899</v>
      </c>
      <c r="N212">
        <v>2010</v>
      </c>
      <c r="O212" t="s">
        <v>830</v>
      </c>
      <c r="P212" t="s">
        <v>896</v>
      </c>
      <c r="Q212" t="s">
        <v>830</v>
      </c>
      <c r="T212" t="s">
        <v>830</v>
      </c>
      <c r="U212" t="s">
        <v>830</v>
      </c>
      <c r="W212" t="s">
        <v>2269</v>
      </c>
      <c r="X212" t="s">
        <v>2946</v>
      </c>
      <c r="Y212" t="s">
        <v>830</v>
      </c>
      <c r="Z212">
        <v>3</v>
      </c>
      <c r="AA212">
        <v>1995</v>
      </c>
      <c r="AB212">
        <v>20</v>
      </c>
      <c r="AC212" t="str">
        <f t="shared" si="16"/>
        <v/>
      </c>
      <c r="AE212" t="str">
        <f t="shared" si="17"/>
        <v/>
      </c>
      <c r="AI212" t="str">
        <f t="shared" si="18"/>
        <v/>
      </c>
      <c r="AJ212" t="str">
        <f t="shared" si="19"/>
        <v/>
      </c>
      <c r="AN212" t="str">
        <f>IF(AM212&lt;&gt;"",CONCATENATE(AC212," &amp; ",SUBSTITUTE(AJ212,","," ")," &amp; ",SUBSTITUTE(AF212,"."," ")," &amp; ",AL212," &amp; ",AM212," \\"),"")</f>
        <v/>
      </c>
    </row>
    <row r="213" spans="1:40" ht="15" x14ac:dyDescent="0.25">
      <c r="A213" t="s">
        <v>370</v>
      </c>
      <c r="B213" s="17" t="s">
        <v>3020</v>
      </c>
      <c r="C213">
        <v>21</v>
      </c>
      <c r="D213" t="s">
        <v>371</v>
      </c>
      <c r="E213" t="s">
        <v>372</v>
      </c>
      <c r="F213" t="s">
        <v>2253</v>
      </c>
      <c r="G213" t="s">
        <v>2261</v>
      </c>
      <c r="H213" t="s">
        <v>830</v>
      </c>
      <c r="I213" t="s">
        <v>1952</v>
      </c>
      <c r="J213" t="s">
        <v>1276</v>
      </c>
      <c r="K213" t="s">
        <v>898</v>
      </c>
      <c r="L213" t="s">
        <v>2233</v>
      </c>
      <c r="M213" t="s">
        <v>899</v>
      </c>
      <c r="N213">
        <v>2010</v>
      </c>
      <c r="O213" t="s">
        <v>830</v>
      </c>
      <c r="P213" t="s">
        <v>896</v>
      </c>
      <c r="Q213" t="s">
        <v>830</v>
      </c>
      <c r="T213" t="s">
        <v>830</v>
      </c>
      <c r="U213" t="s">
        <v>830</v>
      </c>
      <c r="W213" t="s">
        <v>2269</v>
      </c>
      <c r="X213" t="s">
        <v>2947</v>
      </c>
      <c r="Y213" t="s">
        <v>830</v>
      </c>
      <c r="Z213">
        <v>4</v>
      </c>
      <c r="AA213">
        <v>12879</v>
      </c>
      <c r="AB213">
        <v>34.343000000000004</v>
      </c>
      <c r="AC213" t="str">
        <f t="shared" si="16"/>
        <v/>
      </c>
      <c r="AE213" t="str">
        <f t="shared" si="17"/>
        <v/>
      </c>
      <c r="AI213" t="str">
        <f t="shared" si="18"/>
        <v/>
      </c>
      <c r="AJ213" t="str">
        <f t="shared" si="19"/>
        <v/>
      </c>
      <c r="AN213" t="str">
        <f>IF(AM213&lt;&gt;"",CONCATENATE(AC213," &amp; ",SUBSTITUTE(AJ213,","," ")," &amp; ",SUBSTITUTE(AF213,"."," ")," &amp; ",AL213," &amp; ",AM213," \\"),"")</f>
        <v/>
      </c>
    </row>
    <row r="214" spans="1:40" x14ac:dyDescent="0.2">
      <c r="A214" t="s">
        <v>373</v>
      </c>
      <c r="B214" t="s">
        <v>374</v>
      </c>
      <c r="C214">
        <v>0</v>
      </c>
      <c r="D214" t="s">
        <v>375</v>
      </c>
      <c r="E214" t="s">
        <v>376</v>
      </c>
      <c r="F214" t="s">
        <v>8</v>
      </c>
      <c r="G214" t="s">
        <v>373</v>
      </c>
      <c r="H214" t="s">
        <v>830</v>
      </c>
      <c r="I214" t="s">
        <v>2385</v>
      </c>
      <c r="J214" t="s">
        <v>1240</v>
      </c>
      <c r="K214" t="s">
        <v>838</v>
      </c>
      <c r="L214" t="s">
        <v>1558</v>
      </c>
      <c r="M214" t="s">
        <v>880</v>
      </c>
      <c r="N214">
        <v>2005</v>
      </c>
      <c r="O214" t="s">
        <v>830</v>
      </c>
      <c r="P214" t="s">
        <v>2700</v>
      </c>
      <c r="Q214" t="s">
        <v>830</v>
      </c>
      <c r="T214" t="s">
        <v>830</v>
      </c>
      <c r="U214" t="s">
        <v>830</v>
      </c>
      <c r="W214" t="s">
        <v>2692</v>
      </c>
      <c r="X214" t="s">
        <v>2702</v>
      </c>
      <c r="Y214" t="s">
        <v>830</v>
      </c>
      <c r="Z214">
        <v>1</v>
      </c>
      <c r="AA214">
        <v>61</v>
      </c>
      <c r="AB214">
        <v>21.04</v>
      </c>
      <c r="AC214" t="str">
        <f t="shared" si="16"/>
        <v>KOXRIY</v>
      </c>
      <c r="AD214" t="s">
        <v>375</v>
      </c>
      <c r="AE214" t="str">
        <f t="shared" si="17"/>
        <v>Urazole</v>
      </c>
      <c r="AF214" t="str">
        <f>AE214</f>
        <v>Urazole</v>
      </c>
      <c r="AG214" s="15" t="s">
        <v>3132</v>
      </c>
      <c r="AH214" t="s">
        <v>2884</v>
      </c>
      <c r="AI214" t="str">
        <f t="shared" si="18"/>
        <v>CSD,version,6.01,with,Feb,2026,update</v>
      </c>
      <c r="AJ214" t="str">
        <f t="shared" si="19"/>
        <v>C2,H3,N3,O2</v>
      </c>
      <c r="AL214">
        <v>1</v>
      </c>
      <c r="AM214">
        <v>1</v>
      </c>
      <c r="AN214" t="str">
        <f>IF(AM214&lt;&gt;"",CONCATENATE(AC214," &amp; \ce{",SUBSTITUTE(AJ214,","," "),"} &amp; ",SUBSTITUTE(AF214,"."," ")," &amp; ",AL214," &amp; ",AM214," \\"),"")</f>
        <v>KOXRIY &amp; \ce{C2 H3 N3 O2} &amp; Urazole &amp; 1 &amp; 1 \\</v>
      </c>
    </row>
    <row r="215" spans="1:40" x14ac:dyDescent="0.2">
      <c r="A215" t="s">
        <v>377</v>
      </c>
      <c r="B215" t="s">
        <v>2328</v>
      </c>
      <c r="C215">
        <v>10</v>
      </c>
      <c r="D215" t="s">
        <v>378</v>
      </c>
      <c r="E215" t="s">
        <v>379</v>
      </c>
      <c r="F215" t="s">
        <v>8</v>
      </c>
      <c r="G215" s="4" t="s">
        <v>2345</v>
      </c>
      <c r="H215" t="s">
        <v>830</v>
      </c>
      <c r="I215" t="s">
        <v>2385</v>
      </c>
      <c r="J215" t="s">
        <v>1261</v>
      </c>
      <c r="K215" t="s">
        <v>848</v>
      </c>
      <c r="L215" t="s">
        <v>2322</v>
      </c>
      <c r="M215" t="s">
        <v>2326</v>
      </c>
      <c r="N215">
        <v>2018</v>
      </c>
      <c r="O215" t="s">
        <v>830</v>
      </c>
      <c r="P215" t="s">
        <v>2344</v>
      </c>
      <c r="Q215" t="s">
        <v>830</v>
      </c>
      <c r="T215" t="s">
        <v>830</v>
      </c>
      <c r="U215" t="s">
        <v>830</v>
      </c>
      <c r="W215" t="s">
        <v>2343</v>
      </c>
      <c r="X215" t="s">
        <v>2346</v>
      </c>
      <c r="Y215" t="s">
        <v>830</v>
      </c>
      <c r="Z215">
        <v>1</v>
      </c>
      <c r="AA215">
        <v>3723</v>
      </c>
      <c r="AB215">
        <v>27.204000000000001</v>
      </c>
      <c r="AC215" t="str">
        <f t="shared" si="16"/>
        <v>LABJON</v>
      </c>
      <c r="AD215" t="s">
        <v>378</v>
      </c>
      <c r="AE215" t="str">
        <f t="shared" si="17"/>
        <v>Nitrofurantoin</v>
      </c>
      <c r="AF215" t="str">
        <f>AE215</f>
        <v>Nitrofurantoin</v>
      </c>
      <c r="AG215" s="15" t="s">
        <v>2919</v>
      </c>
      <c r="AH215" t="s">
        <v>2884</v>
      </c>
      <c r="AI215" t="str">
        <f t="shared" si="18"/>
        <v>CSD,version,6.01,with,Feb,2026,update</v>
      </c>
      <c r="AJ215" t="str">
        <f t="shared" si="19"/>
        <v>C8,H6,N4,O5</v>
      </c>
      <c r="AL215">
        <v>1</v>
      </c>
      <c r="AM215">
        <v>1</v>
      </c>
      <c r="AN215" t="str">
        <f>IF(AM215&lt;&gt;"",CONCATENATE(AC215," &amp; \ce{",SUBSTITUTE(AJ215,","," "),"} &amp; ",SUBSTITUTE(AF215,"."," ")," &amp; ",AL215," &amp; ",AM215," \\"),"")</f>
        <v>LABJON &amp; \ce{C8 H6 N4 O5} &amp; Nitrofurantoin &amp; 1 &amp; 1 \\</v>
      </c>
    </row>
    <row r="216" spans="1:40" ht="15" x14ac:dyDescent="0.25">
      <c r="A216" t="s">
        <v>1077</v>
      </c>
      <c r="B216" s="17" t="s">
        <v>3021</v>
      </c>
      <c r="C216">
        <v>10</v>
      </c>
      <c r="D216" t="s">
        <v>686</v>
      </c>
      <c r="E216" t="s">
        <v>687</v>
      </c>
      <c r="F216" t="s">
        <v>8</v>
      </c>
      <c r="G216" t="s">
        <v>1077</v>
      </c>
      <c r="H216" t="s">
        <v>830</v>
      </c>
      <c r="I216" t="s">
        <v>2385</v>
      </c>
      <c r="J216" t="s">
        <v>1449</v>
      </c>
      <c r="K216" t="s">
        <v>852</v>
      </c>
      <c r="L216" t="s">
        <v>1667</v>
      </c>
      <c r="M216" t="s">
        <v>2446</v>
      </c>
      <c r="N216">
        <v>2012</v>
      </c>
      <c r="O216" t="s">
        <v>830</v>
      </c>
      <c r="P216" t="s">
        <v>2474</v>
      </c>
      <c r="Q216" t="s">
        <v>830</v>
      </c>
      <c r="T216" t="s">
        <v>830</v>
      </c>
      <c r="U216" t="s">
        <v>830</v>
      </c>
      <c r="W216" t="s">
        <v>2479</v>
      </c>
      <c r="X216" t="s">
        <v>2470</v>
      </c>
      <c r="Y216" t="s">
        <v>830</v>
      </c>
      <c r="Z216">
        <v>1</v>
      </c>
      <c r="AA216">
        <v>5</v>
      </c>
      <c r="AB216">
        <v>14.752000000000001</v>
      </c>
      <c r="AC216" t="str">
        <f t="shared" si="16"/>
        <v>LATJAT</v>
      </c>
      <c r="AD216" t="s">
        <v>3091</v>
      </c>
      <c r="AE216" t="str">
        <f t="shared" si="17"/>
        <v>Bipy-Succinic</v>
      </c>
      <c r="AF216" t="s">
        <v>3112</v>
      </c>
      <c r="AG216" s="15" t="s">
        <v>2889</v>
      </c>
      <c r="AH216" t="s">
        <v>2888</v>
      </c>
      <c r="AI216" t="str">
        <f t="shared" si="18"/>
        <v>CSD,version,6.01,with,Feb,2026,update</v>
      </c>
      <c r="AJ216" t="str">
        <f t="shared" si="19"/>
        <v>C10,H8,N2,.,C4,H6,O4</v>
      </c>
      <c r="AL216">
        <v>1</v>
      </c>
      <c r="AM216">
        <v>2</v>
      </c>
      <c r="AN216" t="str">
        <f>IF(AM216&lt;&gt;"",CONCATENATE(AC216," &amp; \ce{",SUBSTITUTE(AJ216,","," "),"} &amp; ",SUBSTITUTE(AF216,"."," ")," &amp; ",AL216," &amp; ",AM216," \\"),"")</f>
        <v>LATJAT &amp; \ce{C10 H8 N2 . C4 H6 O4} &amp; Bipyridine Succinic Acid cocrystal &amp; 1 &amp; 2 \\</v>
      </c>
    </row>
    <row r="217" spans="1:40" ht="15" x14ac:dyDescent="0.25">
      <c r="A217" t="s">
        <v>1077</v>
      </c>
      <c r="B217" s="17" t="s">
        <v>3021</v>
      </c>
      <c r="C217">
        <v>20</v>
      </c>
      <c r="D217" t="s">
        <v>686</v>
      </c>
      <c r="E217" t="s">
        <v>687</v>
      </c>
      <c r="F217" t="s">
        <v>8</v>
      </c>
      <c r="G217" t="s">
        <v>1077</v>
      </c>
      <c r="H217" t="s">
        <v>830</v>
      </c>
      <c r="I217" t="s">
        <v>2385</v>
      </c>
      <c r="J217" t="s">
        <v>1448</v>
      </c>
      <c r="K217" t="s">
        <v>852</v>
      </c>
      <c r="L217" t="s">
        <v>2436</v>
      </c>
      <c r="M217" t="s">
        <v>891</v>
      </c>
      <c r="N217">
        <v>2012</v>
      </c>
      <c r="O217" t="s">
        <v>830</v>
      </c>
      <c r="P217" t="s">
        <v>891</v>
      </c>
      <c r="Q217" t="s">
        <v>830</v>
      </c>
      <c r="T217" t="s">
        <v>830</v>
      </c>
      <c r="U217" t="s">
        <v>830</v>
      </c>
      <c r="W217" t="s">
        <v>2479</v>
      </c>
      <c r="X217" t="s">
        <v>2471</v>
      </c>
      <c r="Y217" t="s">
        <v>830</v>
      </c>
      <c r="Z217">
        <v>1</v>
      </c>
      <c r="AA217">
        <v>3164</v>
      </c>
      <c r="AB217">
        <v>30</v>
      </c>
      <c r="AC217" t="str">
        <f t="shared" si="16"/>
        <v/>
      </c>
      <c r="AE217" t="str">
        <f t="shared" si="17"/>
        <v/>
      </c>
      <c r="AI217" t="str">
        <f t="shared" si="18"/>
        <v/>
      </c>
      <c r="AJ217" t="str">
        <f t="shared" si="19"/>
        <v/>
      </c>
      <c r="AN217" t="str">
        <f>IF(AM217&lt;&gt;"",CONCATENATE(AC217," &amp; ",SUBSTITUTE(AJ217,","," ")," &amp; ",SUBSTITUTE(AF217,"."," ")," &amp; ",AL217," &amp; ",AM217," \\"),"")</f>
        <v/>
      </c>
    </row>
    <row r="218" spans="1:40" x14ac:dyDescent="0.2">
      <c r="A218" s="8" t="s">
        <v>380</v>
      </c>
      <c r="B218" s="8" t="s">
        <v>381</v>
      </c>
      <c r="C218" s="8">
        <v>0</v>
      </c>
      <c r="D218" s="8" t="s">
        <v>382</v>
      </c>
      <c r="E218" s="8" t="s">
        <v>383</v>
      </c>
      <c r="F218" s="8" t="s">
        <v>8</v>
      </c>
      <c r="G218" s="8" t="s">
        <v>384</v>
      </c>
      <c r="H218" s="8" t="s">
        <v>2866</v>
      </c>
      <c r="I218" s="8"/>
      <c r="J218" s="8"/>
      <c r="K218" s="8" t="s">
        <v>851</v>
      </c>
      <c r="L218" s="8"/>
      <c r="M218" s="8" t="s">
        <v>2445</v>
      </c>
      <c r="N218" s="8">
        <v>2009</v>
      </c>
      <c r="O218" s="8"/>
      <c r="P218" s="8"/>
      <c r="Q218" s="8"/>
      <c r="R218" s="8"/>
      <c r="S218" s="8"/>
      <c r="T218" s="8" t="s">
        <v>1598</v>
      </c>
      <c r="U218" s="8"/>
      <c r="V218" s="8"/>
      <c r="W218" s="8"/>
      <c r="X218" s="8"/>
      <c r="Y218" s="8"/>
      <c r="Z218" s="8"/>
      <c r="AA218" s="8">
        <v>90</v>
      </c>
      <c r="AB218" s="8">
        <v>18.483000000000001</v>
      </c>
      <c r="AC218" t="str">
        <f t="shared" si="16"/>
        <v/>
      </c>
      <c r="AE218" t="str">
        <f t="shared" si="17"/>
        <v/>
      </c>
      <c r="AI218" t="str">
        <f t="shared" si="18"/>
        <v/>
      </c>
      <c r="AJ218" t="str">
        <f t="shared" si="19"/>
        <v/>
      </c>
      <c r="AN218" t="str">
        <f>IF(AM218&lt;&gt;"",CONCATENATE(AC218," &amp; ",SUBSTITUTE(AJ218,","," ")," &amp; ",SUBSTITUTE(AF218,"."," ")," &amp; ",AL218," &amp; ",AM218," \\"),"")</f>
        <v/>
      </c>
    </row>
    <row r="219" spans="1:40" ht="15" x14ac:dyDescent="0.25">
      <c r="A219" t="s">
        <v>385</v>
      </c>
      <c r="B219" s="17" t="s">
        <v>3022</v>
      </c>
      <c r="C219">
        <v>0</v>
      </c>
      <c r="D219" t="s">
        <v>386</v>
      </c>
      <c r="E219" t="s">
        <v>387</v>
      </c>
      <c r="F219" t="s">
        <v>8</v>
      </c>
      <c r="G219" t="s">
        <v>2711</v>
      </c>
      <c r="H219" t="s">
        <v>830</v>
      </c>
      <c r="I219" t="s">
        <v>2385</v>
      </c>
      <c r="J219" t="s">
        <v>1193</v>
      </c>
      <c r="K219" t="s">
        <v>845</v>
      </c>
      <c r="L219" t="s">
        <v>1553</v>
      </c>
      <c r="M219" t="s">
        <v>918</v>
      </c>
      <c r="N219">
        <v>2006</v>
      </c>
      <c r="O219" t="s">
        <v>830</v>
      </c>
      <c r="P219" t="s">
        <v>2699</v>
      </c>
      <c r="Q219" t="s">
        <v>830</v>
      </c>
      <c r="T219" t="s">
        <v>830</v>
      </c>
      <c r="U219" t="s">
        <v>830</v>
      </c>
      <c r="W219" t="s">
        <v>2692</v>
      </c>
      <c r="X219" t="s">
        <v>2710</v>
      </c>
      <c r="Y219" t="s">
        <v>830</v>
      </c>
      <c r="Z219">
        <v>1</v>
      </c>
      <c r="AA219">
        <v>78</v>
      </c>
      <c r="AB219">
        <v>14.73</v>
      </c>
      <c r="AC219" t="str">
        <f t="shared" si="16"/>
        <v>MEBQEQ</v>
      </c>
      <c r="AD219" t="s">
        <v>386</v>
      </c>
      <c r="AE219" t="str">
        <f t="shared" si="17"/>
        <v>5fluorocytosine</v>
      </c>
      <c r="AF219" t="s">
        <v>3237</v>
      </c>
      <c r="AG219" s="15" t="s">
        <v>3132</v>
      </c>
      <c r="AH219" t="s">
        <v>2884</v>
      </c>
      <c r="AI219" t="str">
        <f t="shared" si="18"/>
        <v>CSD,version,6.01,with,Feb,2026,update</v>
      </c>
      <c r="AJ219" t="str">
        <f t="shared" si="19"/>
        <v>C4,H4,N3,O1,F1</v>
      </c>
      <c r="AL219">
        <v>1</v>
      </c>
      <c r="AM219">
        <v>1</v>
      </c>
      <c r="AN219" t="str">
        <f>IF(AM219&lt;&gt;"",CONCATENATE(AC219," &amp; \ce{",SUBSTITUTE(AJ219,","," "),"} &amp; ",SUBSTITUTE(AF219,"."," ")," &amp; ",AL219," &amp; ",AM219," \\"),"")</f>
        <v>MEBQEQ &amp; \ce{C4 H4 N3 O1 F1} &amp; 5-Fluorocytosine &amp; 1 &amp; 1 \\</v>
      </c>
    </row>
    <row r="220" spans="1:40" ht="15" x14ac:dyDescent="0.25">
      <c r="A220" t="s">
        <v>389</v>
      </c>
      <c r="B220" s="17" t="s">
        <v>3023</v>
      </c>
      <c r="C220">
        <v>10</v>
      </c>
      <c r="D220" t="s">
        <v>390</v>
      </c>
      <c r="E220" t="s">
        <v>390</v>
      </c>
      <c r="F220" t="s">
        <v>8</v>
      </c>
      <c r="G220" t="s">
        <v>8</v>
      </c>
      <c r="H220" t="s">
        <v>830</v>
      </c>
      <c r="I220" t="s">
        <v>2385</v>
      </c>
      <c r="J220" t="s">
        <v>1257</v>
      </c>
      <c r="K220" t="s">
        <v>848</v>
      </c>
      <c r="L220" t="s">
        <v>2322</v>
      </c>
      <c r="M220" t="s">
        <v>2324</v>
      </c>
      <c r="N220">
        <v>2018</v>
      </c>
      <c r="O220" t="s">
        <v>830</v>
      </c>
      <c r="P220" t="s">
        <v>2330</v>
      </c>
      <c r="Q220" t="s">
        <v>830</v>
      </c>
      <c r="T220" t="s">
        <v>830</v>
      </c>
      <c r="U220" t="s">
        <v>830</v>
      </c>
      <c r="W220" t="s">
        <v>2343</v>
      </c>
      <c r="X220" t="s">
        <v>2337</v>
      </c>
      <c r="Y220" t="s">
        <v>830</v>
      </c>
      <c r="Z220">
        <v>0</v>
      </c>
      <c r="AA220">
        <v>1198</v>
      </c>
      <c r="AB220">
        <v>24.576000000000001</v>
      </c>
      <c r="AC220" t="str">
        <f t="shared" si="16"/>
        <v>MENBZM</v>
      </c>
      <c r="AD220" t="s">
        <v>3155</v>
      </c>
      <c r="AE220" t="str">
        <f t="shared" si="17"/>
        <v>2M4NBAMH</v>
      </c>
      <c r="AF220" t="s">
        <v>3166</v>
      </c>
      <c r="AG220" s="15" t="s">
        <v>2919</v>
      </c>
      <c r="AH220" t="s">
        <v>2884</v>
      </c>
      <c r="AI220" t="str">
        <f t="shared" si="18"/>
        <v>CSD,version,6.01,with,Feb,2026,update</v>
      </c>
      <c r="AJ220" t="str">
        <f t="shared" si="19"/>
        <v>C8,H7,N1,O4,.,H2,O1</v>
      </c>
      <c r="AK220" t="s">
        <v>3127</v>
      </c>
      <c r="AL220">
        <v>1</v>
      </c>
      <c r="AM220">
        <v>1</v>
      </c>
      <c r="AN220" t="str">
        <f>IF(AM220&lt;&gt;"",CONCATENATE(AC220," &amp; \ce{",SUBSTITUTE(AJ220,","," "),"} &amp; ",SUBSTITUTE(AF220,"."," ")," &amp; ",AL220," &amp; ",AM220," \\"),"")</f>
        <v>MENBZM &amp; \ce{C8 H7 N1 O4 . H2 O1} &amp; 2-Methyl-4-Nitrobenzoic Acid Monohydrate &amp; 1 &amp; 1 \\</v>
      </c>
    </row>
    <row r="221" spans="1:40" x14ac:dyDescent="0.2">
      <c r="A221" t="s">
        <v>1940</v>
      </c>
      <c r="B221" t="s">
        <v>316</v>
      </c>
      <c r="C221">
        <v>10</v>
      </c>
      <c r="D221" t="s">
        <v>1944</v>
      </c>
      <c r="E221" t="s">
        <v>1943</v>
      </c>
      <c r="G221" t="s">
        <v>1942</v>
      </c>
      <c r="H221" t="s">
        <v>830</v>
      </c>
      <c r="I221" t="s">
        <v>1884</v>
      </c>
      <c r="J221" t="s">
        <v>2399</v>
      </c>
      <c r="K221" t="s">
        <v>1941</v>
      </c>
      <c r="L221" t="s">
        <v>1472</v>
      </c>
      <c r="M221" t="s">
        <v>876</v>
      </c>
      <c r="N221" t="s">
        <v>1945</v>
      </c>
      <c r="O221" t="s">
        <v>830</v>
      </c>
      <c r="P221" t="s">
        <v>1946</v>
      </c>
      <c r="Q221" t="s">
        <v>830</v>
      </c>
      <c r="T221" t="s">
        <v>830</v>
      </c>
      <c r="U221" t="s">
        <v>830</v>
      </c>
      <c r="W221" t="s">
        <v>1949</v>
      </c>
      <c r="X221" t="s">
        <v>1948</v>
      </c>
      <c r="Y221" t="s">
        <v>830</v>
      </c>
      <c r="Z221">
        <v>2</v>
      </c>
      <c r="AA221">
        <v>2548</v>
      </c>
      <c r="AB221">
        <v>31.925000000000001</v>
      </c>
      <c r="AC221" t="str">
        <f t="shared" si="16"/>
        <v>MENSEE</v>
      </c>
      <c r="AD221" t="s">
        <v>1944</v>
      </c>
      <c r="AE221" t="str">
        <f t="shared" si="17"/>
        <v>Metacetamol</v>
      </c>
      <c r="AF221" t="str">
        <f>AE221</f>
        <v>Metacetamol</v>
      </c>
      <c r="AG221" s="15" t="s">
        <v>3271</v>
      </c>
      <c r="AH221" t="s">
        <v>2888</v>
      </c>
      <c r="AI221" t="str">
        <f t="shared" si="18"/>
        <v>CSD,version,5.46,with,Feb,2025,update</v>
      </c>
      <c r="AJ221" t="str">
        <f t="shared" si="19"/>
        <v>C8,H9,N1,O2</v>
      </c>
      <c r="AL221">
        <v>1</v>
      </c>
      <c r="AM221">
        <v>2</v>
      </c>
      <c r="AN221" t="str">
        <f>IF(AM221&lt;&gt;"",CONCATENATE(AC221," &amp; \ce{",SUBSTITUTE(AJ221,","," "),"} &amp; ",SUBSTITUTE(AF221,"."," ")," &amp; ",AL221," &amp; ",AM221," \\"),"")</f>
        <v>MENSEE &amp; \ce{C8 H9 N1 O2} &amp; Metacetamol &amp; 1 &amp; 2 \\</v>
      </c>
    </row>
    <row r="222" spans="1:40" x14ac:dyDescent="0.2">
      <c r="A222" t="s">
        <v>1940</v>
      </c>
      <c r="B222" t="s">
        <v>316</v>
      </c>
      <c r="C222">
        <v>20</v>
      </c>
      <c r="D222" t="s">
        <v>1944</v>
      </c>
      <c r="E222" t="s">
        <v>1943</v>
      </c>
      <c r="G222" t="s">
        <v>1942</v>
      </c>
      <c r="H222" t="s">
        <v>830</v>
      </c>
      <c r="I222" t="s">
        <v>1884</v>
      </c>
      <c r="J222" t="s">
        <v>1411</v>
      </c>
      <c r="K222" t="s">
        <v>1941</v>
      </c>
      <c r="L222" t="s">
        <v>1560</v>
      </c>
      <c r="M222" t="s">
        <v>876</v>
      </c>
      <c r="N222" t="s">
        <v>1945</v>
      </c>
      <c r="O222" t="s">
        <v>830</v>
      </c>
      <c r="P222" t="s">
        <v>891</v>
      </c>
      <c r="Q222" t="s">
        <v>830</v>
      </c>
      <c r="T222" t="s">
        <v>830</v>
      </c>
      <c r="U222" t="s">
        <v>830</v>
      </c>
      <c r="W222" t="s">
        <v>1949</v>
      </c>
      <c r="X222" t="s">
        <v>1947</v>
      </c>
      <c r="Y222" t="s">
        <v>830</v>
      </c>
      <c r="Z222">
        <v>2</v>
      </c>
      <c r="AA222">
        <v>4154</v>
      </c>
      <c r="AB222">
        <v>31.832000000000001</v>
      </c>
      <c r="AC222" t="str">
        <f t="shared" si="16"/>
        <v/>
      </c>
      <c r="AE222" t="str">
        <f t="shared" si="17"/>
        <v/>
      </c>
      <c r="AI222" t="str">
        <f t="shared" si="18"/>
        <v/>
      </c>
      <c r="AJ222" t="str">
        <f t="shared" si="19"/>
        <v/>
      </c>
      <c r="AN222" t="str">
        <f>IF(AM222&lt;&gt;"",CONCATENATE(AC222," &amp; ",SUBSTITUTE(AJ222,","," ")," &amp; ",SUBSTITUTE(AF222,"."," ")," &amp; ",AL222," &amp; ",AM222," \\"),"")</f>
        <v/>
      </c>
    </row>
    <row r="223" spans="1:40" x14ac:dyDescent="0.2">
      <c r="A223" t="s">
        <v>391</v>
      </c>
      <c r="B223" t="s">
        <v>392</v>
      </c>
      <c r="C223">
        <v>10</v>
      </c>
      <c r="D223" t="s">
        <v>393</v>
      </c>
      <c r="E223" t="s">
        <v>393</v>
      </c>
      <c r="F223" t="s">
        <v>8</v>
      </c>
      <c r="G223" t="s">
        <v>2775</v>
      </c>
      <c r="H223" t="s">
        <v>830</v>
      </c>
      <c r="I223" t="s">
        <v>2841</v>
      </c>
      <c r="J223" t="s">
        <v>1411</v>
      </c>
      <c r="K223" t="s">
        <v>2524</v>
      </c>
      <c r="L223" t="s">
        <v>2774</v>
      </c>
      <c r="M223" t="s">
        <v>876</v>
      </c>
      <c r="N223">
        <v>2013</v>
      </c>
      <c r="O223" t="s">
        <v>830</v>
      </c>
      <c r="P223" t="s">
        <v>2843</v>
      </c>
      <c r="Q223" t="s">
        <v>830</v>
      </c>
      <c r="T223" t="s">
        <v>830</v>
      </c>
      <c r="U223" t="s">
        <v>830</v>
      </c>
      <c r="W223" t="s">
        <v>2836</v>
      </c>
      <c r="X223" t="s">
        <v>2847</v>
      </c>
      <c r="Y223" t="s">
        <v>830</v>
      </c>
      <c r="Z223">
        <v>3</v>
      </c>
      <c r="AA223">
        <v>870</v>
      </c>
      <c r="AB223">
        <v>22.388000000000002</v>
      </c>
      <c r="AC223" t="str">
        <f t="shared" si="16"/>
        <v>METHOL</v>
      </c>
      <c r="AD223" t="s">
        <v>393</v>
      </c>
      <c r="AE223" t="str">
        <f t="shared" si="17"/>
        <v>Methanol</v>
      </c>
      <c r="AF223" t="str">
        <f>AE223</f>
        <v>Methanol</v>
      </c>
      <c r="AG223" s="15" t="s">
        <v>2887</v>
      </c>
      <c r="AH223" t="s">
        <v>2884</v>
      </c>
      <c r="AI223" t="str">
        <f t="shared" si="18"/>
        <v>CSD,version,6.01,with,Feb,and,May,2026,updates</v>
      </c>
      <c r="AJ223" t="str">
        <f t="shared" si="19"/>
        <v>C1,H4,O1</v>
      </c>
      <c r="AL223">
        <v>1</v>
      </c>
      <c r="AM223">
        <v>1</v>
      </c>
      <c r="AN223" t="str">
        <f t="shared" ref="AN223:AN228" si="20">IF(AM223&lt;&gt;"",CONCATENATE(AC223," &amp; \ce{",SUBSTITUTE(AJ223,","," "),"} &amp; ",SUBSTITUTE(AF223,"."," ")," &amp; ",AL223," &amp; ",AM223," \\"),"")</f>
        <v>METHOL &amp; \ce{C1 H4 O1} &amp; Methanol &amp; 1 &amp; 1 \\</v>
      </c>
    </row>
    <row r="224" spans="1:40" ht="15" x14ac:dyDescent="0.25">
      <c r="A224" t="s">
        <v>2133</v>
      </c>
      <c r="B224" s="17" t="s">
        <v>3024</v>
      </c>
      <c r="C224">
        <v>10</v>
      </c>
      <c r="D224" t="s">
        <v>1048</v>
      </c>
      <c r="E224" t="s">
        <v>1049</v>
      </c>
      <c r="G224" t="s">
        <v>2133</v>
      </c>
      <c r="H224" t="s">
        <v>830</v>
      </c>
      <c r="I224" t="s">
        <v>1952</v>
      </c>
      <c r="J224" t="s">
        <v>1050</v>
      </c>
      <c r="K224" t="s">
        <v>997</v>
      </c>
      <c r="L224" t="s">
        <v>996</v>
      </c>
      <c r="M224" t="s">
        <v>1887</v>
      </c>
      <c r="N224" t="s">
        <v>998</v>
      </c>
      <c r="O224" t="s">
        <v>830</v>
      </c>
      <c r="P224" t="s">
        <v>2134</v>
      </c>
      <c r="Q224" t="s">
        <v>830</v>
      </c>
      <c r="T224" t="s">
        <v>830</v>
      </c>
      <c r="U224" t="s">
        <v>830</v>
      </c>
      <c r="W224" t="s">
        <v>2250</v>
      </c>
      <c r="X224" t="s">
        <v>2182</v>
      </c>
      <c r="Y224" t="s">
        <v>830</v>
      </c>
      <c r="Z224">
        <v>0</v>
      </c>
      <c r="AA224">
        <v>571</v>
      </c>
      <c r="AB224">
        <v>66.064999999999998</v>
      </c>
      <c r="AC224" t="str">
        <f t="shared" si="16"/>
        <v>MIVZEA</v>
      </c>
      <c r="AD224" s="4" t="s">
        <v>2983</v>
      </c>
      <c r="AE224" t="str">
        <f t="shared" si="17"/>
        <v>2CannabinolTetramethylpyrazine</v>
      </c>
      <c r="AF224" t="s">
        <v>3001</v>
      </c>
      <c r="AG224" s="16" t="s">
        <v>2925</v>
      </c>
      <c r="AH224" s="4" t="s">
        <v>2884</v>
      </c>
      <c r="AI224" t="str">
        <f t="shared" si="18"/>
        <v>CSD,version,6.01</v>
      </c>
      <c r="AJ224" t="str">
        <f t="shared" si="19"/>
        <v>C21,H26,O2,.,C21,H26,O2,.,C8,H12,N2</v>
      </c>
      <c r="AK224" s="4" t="s">
        <v>3059</v>
      </c>
      <c r="AL224">
        <v>1</v>
      </c>
      <c r="AM224">
        <v>1</v>
      </c>
      <c r="AN224" t="str">
        <f t="shared" si="20"/>
        <v>MIVZEA &amp; \ce{C21 H26 O2 . C21 H26 O2 . C8 H12 N2} &amp; bis Cannabinol Tetramethylpyrazine cocrystal (Blind Test XXX) &amp; 1 &amp; 1 \\</v>
      </c>
    </row>
    <row r="225" spans="1:40" ht="15" x14ac:dyDescent="0.25">
      <c r="A225" t="s">
        <v>2132</v>
      </c>
      <c r="B225" s="17" t="s">
        <v>3025</v>
      </c>
      <c r="C225">
        <v>10</v>
      </c>
      <c r="D225" t="s">
        <v>994</v>
      </c>
      <c r="E225" t="s">
        <v>995</v>
      </c>
      <c r="G225" t="s">
        <v>2132</v>
      </c>
      <c r="H225" t="s">
        <v>830</v>
      </c>
      <c r="I225" t="s">
        <v>1952</v>
      </c>
      <c r="J225" t="s">
        <v>999</v>
      </c>
      <c r="K225" t="s">
        <v>997</v>
      </c>
      <c r="L225" t="s">
        <v>996</v>
      </c>
      <c r="M225" t="s">
        <v>1887</v>
      </c>
      <c r="N225" t="s">
        <v>998</v>
      </c>
      <c r="O225" t="s">
        <v>830</v>
      </c>
      <c r="P225" t="s">
        <v>2134</v>
      </c>
      <c r="Q225" t="s">
        <v>830</v>
      </c>
      <c r="T225" t="s">
        <v>830</v>
      </c>
      <c r="U225" t="s">
        <v>830</v>
      </c>
      <c r="W225" t="s">
        <v>2250</v>
      </c>
      <c r="X225" t="s">
        <v>2180</v>
      </c>
      <c r="Y225" t="s">
        <v>830</v>
      </c>
      <c r="Z225">
        <v>0</v>
      </c>
      <c r="AA225">
        <v>487</v>
      </c>
      <c r="AB225">
        <v>79.436999999999998</v>
      </c>
      <c r="AC225" t="str">
        <f t="shared" si="16"/>
        <v>MIVZIE</v>
      </c>
      <c r="AD225" s="4" t="s">
        <v>2984</v>
      </c>
      <c r="AE225" t="str">
        <f t="shared" si="17"/>
        <v>CannabinolTetramethylpyrazine</v>
      </c>
      <c r="AF225" t="s">
        <v>3002</v>
      </c>
      <c r="AG225" s="16" t="s">
        <v>2925</v>
      </c>
      <c r="AH225" s="4" t="s">
        <v>2884</v>
      </c>
      <c r="AI225" t="str">
        <f t="shared" si="18"/>
        <v>CSD,version,6.01</v>
      </c>
      <c r="AJ225" t="str">
        <f t="shared" si="19"/>
        <v>C21,H26,O2,.,C8,H12,N2</v>
      </c>
      <c r="AK225" s="4" t="s">
        <v>3059</v>
      </c>
      <c r="AL225">
        <v>1</v>
      </c>
      <c r="AM225">
        <v>1</v>
      </c>
      <c r="AN225" t="str">
        <f t="shared" si="20"/>
        <v>MIVZIE &amp; \ce{C21 H26 O2 . C8 H12 N2} &amp; Cannabinol Tetramethylpyrazine cocrystal (Blind Test XXX) &amp; 1 &amp; 1 \\</v>
      </c>
    </row>
    <row r="226" spans="1:40" ht="15" x14ac:dyDescent="0.25">
      <c r="A226" t="s">
        <v>394</v>
      </c>
      <c r="B226" s="17" t="s">
        <v>3026</v>
      </c>
      <c r="C226">
        <v>20</v>
      </c>
      <c r="D226" t="s">
        <v>395</v>
      </c>
      <c r="E226" t="s">
        <v>2735</v>
      </c>
      <c r="F226" t="s">
        <v>8</v>
      </c>
      <c r="G226" t="s">
        <v>394</v>
      </c>
      <c r="H226" t="s">
        <v>830</v>
      </c>
      <c r="I226" t="s">
        <v>2385</v>
      </c>
      <c r="J226" t="s">
        <v>1155</v>
      </c>
      <c r="K226" t="s">
        <v>851</v>
      </c>
      <c r="L226" t="s">
        <v>2738</v>
      </c>
      <c r="M226" t="s">
        <v>2595</v>
      </c>
      <c r="N226">
        <v>2010</v>
      </c>
      <c r="O226" t="s">
        <v>830</v>
      </c>
      <c r="P226" s="4" t="s">
        <v>2733</v>
      </c>
      <c r="Q226" t="s">
        <v>830</v>
      </c>
      <c r="T226" t="s">
        <v>830</v>
      </c>
      <c r="U226" t="s">
        <v>830</v>
      </c>
      <c r="W226" t="s">
        <v>2692</v>
      </c>
      <c r="X226" t="s">
        <v>2742</v>
      </c>
      <c r="Y226" t="s">
        <v>830</v>
      </c>
      <c r="Z226">
        <v>1</v>
      </c>
      <c r="AA226">
        <v>267</v>
      </c>
      <c r="AB226">
        <v>18.04</v>
      </c>
      <c r="AC226" t="str">
        <f t="shared" si="16"/>
        <v>MOZCOU</v>
      </c>
      <c r="AD226" t="s">
        <v>3093</v>
      </c>
      <c r="AE226" t="str">
        <f t="shared" si="17"/>
        <v>Caffeine3HBA</v>
      </c>
      <c r="AF226" t="s">
        <v>3113</v>
      </c>
      <c r="AG226" s="15" t="s">
        <v>3132</v>
      </c>
      <c r="AH226" t="s">
        <v>2884</v>
      </c>
      <c r="AI226" t="str">
        <f t="shared" si="18"/>
        <v>CSD,version,6.01,with,Feb,2026,update</v>
      </c>
      <c r="AJ226" t="str">
        <f t="shared" si="19"/>
        <v>C8,H10,N4,O2,.,C7,H6,O3</v>
      </c>
      <c r="AL226">
        <v>1</v>
      </c>
      <c r="AM226">
        <v>1</v>
      </c>
      <c r="AN226" t="str">
        <f t="shared" si="20"/>
        <v>MOZCOU &amp; \ce{C8 H10 N4 O2 . C7 H6 O3} &amp; Caffeine 3-Hydroxybenzoic Acid cocrystal &amp; 1 &amp; 1 \\</v>
      </c>
    </row>
    <row r="227" spans="1:40" ht="15" x14ac:dyDescent="0.25">
      <c r="A227" t="s">
        <v>2745</v>
      </c>
      <c r="B227" s="17" t="s">
        <v>3027</v>
      </c>
      <c r="C227">
        <v>20</v>
      </c>
      <c r="D227" t="s">
        <v>2746</v>
      </c>
      <c r="E227" t="s">
        <v>2744</v>
      </c>
      <c r="F227" t="s">
        <v>8</v>
      </c>
      <c r="G227" t="s">
        <v>2745</v>
      </c>
      <c r="H227" t="s">
        <v>830</v>
      </c>
      <c r="I227" t="s">
        <v>2385</v>
      </c>
      <c r="J227" t="s">
        <v>2747</v>
      </c>
      <c r="K227" t="s">
        <v>851</v>
      </c>
      <c r="L227" t="s">
        <v>2738</v>
      </c>
      <c r="M227" t="s">
        <v>2595</v>
      </c>
      <c r="N227">
        <v>2009</v>
      </c>
      <c r="O227" t="s">
        <v>830</v>
      </c>
      <c r="P227" t="s">
        <v>2733</v>
      </c>
      <c r="Q227" t="s">
        <v>830</v>
      </c>
      <c r="T227" t="s">
        <v>830</v>
      </c>
      <c r="U227" t="s">
        <v>830</v>
      </c>
      <c r="W227" t="s">
        <v>2692</v>
      </c>
      <c r="X227" t="s">
        <v>2748</v>
      </c>
      <c r="Y227" t="s">
        <v>830</v>
      </c>
      <c r="Z227">
        <v>1</v>
      </c>
      <c r="AA227">
        <v>1060</v>
      </c>
      <c r="AC227" t="str">
        <f t="shared" si="16"/>
        <v>MOZDAH</v>
      </c>
      <c r="AD227" t="s">
        <v>3094</v>
      </c>
      <c r="AE227" t="str">
        <f t="shared" si="17"/>
        <v>Caffeinebis4HBA</v>
      </c>
      <c r="AF227" t="s">
        <v>3114</v>
      </c>
      <c r="AG227" s="15" t="s">
        <v>3132</v>
      </c>
      <c r="AH227" t="s">
        <v>2884</v>
      </c>
      <c r="AI227" t="str">
        <f t="shared" si="18"/>
        <v>CSD,version,6.01,with,Feb,2026,update</v>
      </c>
      <c r="AJ227" t="str">
        <f t="shared" si="19"/>
        <v>C8,H10,N4,O2,.,C7,H6,O3,.,C7,H6,O3</v>
      </c>
      <c r="AL227">
        <v>1</v>
      </c>
      <c r="AM227">
        <v>1</v>
      </c>
      <c r="AN227" t="str">
        <f t="shared" si="20"/>
        <v>MOZDAH &amp; \ce{C8 H10 N4 O2 . C7 H6 O3 . C7 H6 O3} &amp; Caffeine bis 4-Hydroxybenzoic Acid cocrystal &amp; 1 &amp; 1 \\</v>
      </c>
    </row>
    <row r="228" spans="1:40" x14ac:dyDescent="0.2">
      <c r="A228" t="s">
        <v>1015</v>
      </c>
      <c r="B228" t="s">
        <v>2183</v>
      </c>
      <c r="C228">
        <v>10</v>
      </c>
      <c r="D228" t="s">
        <v>1016</v>
      </c>
      <c r="E228" t="s">
        <v>1016</v>
      </c>
      <c r="G228" t="s">
        <v>2130</v>
      </c>
      <c r="H228" t="s">
        <v>830</v>
      </c>
      <c r="I228" t="s">
        <v>1952</v>
      </c>
      <c r="J228" t="s">
        <v>1017</v>
      </c>
      <c r="K228" t="s">
        <v>997</v>
      </c>
      <c r="L228" t="s">
        <v>967</v>
      </c>
      <c r="M228" t="s">
        <v>877</v>
      </c>
      <c r="N228" t="s">
        <v>968</v>
      </c>
      <c r="O228" t="s">
        <v>830</v>
      </c>
      <c r="P228" t="s">
        <v>2134</v>
      </c>
      <c r="Q228" t="s">
        <v>830</v>
      </c>
      <c r="T228" t="s">
        <v>830</v>
      </c>
      <c r="U228" t="s">
        <v>830</v>
      </c>
      <c r="W228" t="s">
        <v>2250</v>
      </c>
      <c r="X228" t="s">
        <v>2177</v>
      </c>
      <c r="Y228" t="s">
        <v>830</v>
      </c>
      <c r="Z228">
        <v>1</v>
      </c>
      <c r="AA228">
        <v>381</v>
      </c>
      <c r="AB228">
        <v>16.974</v>
      </c>
      <c r="AC228" t="str">
        <f t="shared" si="16"/>
        <v>MPYRAZ</v>
      </c>
      <c r="AD228" s="4" t="s">
        <v>2985</v>
      </c>
      <c r="AE228" t="str">
        <f t="shared" si="17"/>
        <v>Tetramethylpyrazine</v>
      </c>
      <c r="AF228" t="s">
        <v>3004</v>
      </c>
      <c r="AG228" s="16" t="s">
        <v>2925</v>
      </c>
      <c r="AH228" s="4" t="s">
        <v>2884</v>
      </c>
      <c r="AI228" t="str">
        <f t="shared" si="18"/>
        <v>CSD,version,6.01</v>
      </c>
      <c r="AJ228" t="str">
        <f t="shared" si="19"/>
        <v>C8,H12,N2</v>
      </c>
      <c r="AK228" s="4" t="s">
        <v>3059</v>
      </c>
      <c r="AL228">
        <v>1</v>
      </c>
      <c r="AM228">
        <v>2</v>
      </c>
      <c r="AN228" t="str">
        <f t="shared" si="20"/>
        <v>MPYRAZ &amp; \ce{C8 H12 N2} &amp; Tetramethylpyrazine (component of Blind Test XXX) &amp; 1 &amp; 2 \\</v>
      </c>
    </row>
    <row r="229" spans="1:40" x14ac:dyDescent="0.2">
      <c r="A229" t="s">
        <v>1015</v>
      </c>
      <c r="B229" t="s">
        <v>2183</v>
      </c>
      <c r="C229">
        <v>20</v>
      </c>
      <c r="D229" t="s">
        <v>1016</v>
      </c>
      <c r="E229" t="s">
        <v>1016</v>
      </c>
      <c r="G229" t="s">
        <v>2130</v>
      </c>
      <c r="H229" t="s">
        <v>830</v>
      </c>
      <c r="I229" t="s">
        <v>1952</v>
      </c>
      <c r="J229" t="s">
        <v>1018</v>
      </c>
      <c r="K229" t="s">
        <v>997</v>
      </c>
      <c r="L229" t="s">
        <v>1005</v>
      </c>
      <c r="M229" t="s">
        <v>1887</v>
      </c>
      <c r="N229" t="s">
        <v>968</v>
      </c>
      <c r="O229" t="s">
        <v>830</v>
      </c>
      <c r="P229" t="s">
        <v>2134</v>
      </c>
      <c r="Q229" t="s">
        <v>830</v>
      </c>
      <c r="T229" t="s">
        <v>830</v>
      </c>
      <c r="U229" t="s">
        <v>830</v>
      </c>
      <c r="W229" t="s">
        <v>2250</v>
      </c>
      <c r="X229" t="s">
        <v>2178</v>
      </c>
      <c r="Y229" t="s">
        <v>830</v>
      </c>
      <c r="Z229">
        <v>1</v>
      </c>
      <c r="AA229">
        <v>377</v>
      </c>
      <c r="AB229">
        <v>16.350000000000001</v>
      </c>
      <c r="AC229" t="str">
        <f t="shared" si="16"/>
        <v/>
      </c>
      <c r="AE229" t="str">
        <f t="shared" si="17"/>
        <v/>
      </c>
      <c r="AI229" t="str">
        <f t="shared" si="18"/>
        <v/>
      </c>
      <c r="AJ229" t="str">
        <f t="shared" si="19"/>
        <v/>
      </c>
      <c r="AN229" t="str">
        <f>IF(AM229&lt;&gt;"",CONCATENATE(AC229," &amp; ",SUBSTITUTE(AJ229,","," ")," &amp; ",SUBSTITUTE(AF229,"."," ")," &amp; ",AL229," &amp; ",AM229," \\"),"")</f>
        <v/>
      </c>
    </row>
    <row r="230" spans="1:40" x14ac:dyDescent="0.2">
      <c r="A230" t="s">
        <v>396</v>
      </c>
      <c r="B230" t="s">
        <v>397</v>
      </c>
      <c r="C230">
        <v>1</v>
      </c>
      <c r="D230" t="s">
        <v>8</v>
      </c>
      <c r="E230" t="s">
        <v>398</v>
      </c>
      <c r="F230" t="s">
        <v>399</v>
      </c>
      <c r="G230" s="4" t="s">
        <v>396</v>
      </c>
      <c r="H230" t="s">
        <v>830</v>
      </c>
      <c r="I230" t="s">
        <v>2385</v>
      </c>
      <c r="J230" t="s">
        <v>1293</v>
      </c>
      <c r="K230" t="s">
        <v>840</v>
      </c>
      <c r="L230" t="s">
        <v>2369</v>
      </c>
      <c r="M230" t="s">
        <v>901</v>
      </c>
      <c r="N230">
        <v>2015</v>
      </c>
      <c r="O230" t="s">
        <v>830</v>
      </c>
      <c r="P230" t="s">
        <v>1520</v>
      </c>
      <c r="Q230" t="s">
        <v>830</v>
      </c>
      <c r="T230" t="s">
        <v>830</v>
      </c>
      <c r="U230" t="s">
        <v>830</v>
      </c>
      <c r="W230" t="s">
        <v>2343</v>
      </c>
      <c r="X230" t="s">
        <v>2379</v>
      </c>
      <c r="Y230" t="s">
        <v>830</v>
      </c>
      <c r="Z230">
        <v>1</v>
      </c>
      <c r="AA230">
        <v>1325</v>
      </c>
      <c r="AB230">
        <v>43.59</v>
      </c>
      <c r="AC230" t="str">
        <f t="shared" si="16"/>
        <v>NACJAF</v>
      </c>
      <c r="AD230" t="s">
        <v>2951</v>
      </c>
      <c r="AE230" t="str">
        <f t="shared" si="17"/>
        <v>BTXXII</v>
      </c>
      <c r="AF230" t="s">
        <v>2952</v>
      </c>
      <c r="AG230" s="15" t="s">
        <v>2919</v>
      </c>
      <c r="AH230" t="s">
        <v>2953</v>
      </c>
      <c r="AI230" t="str">
        <f t="shared" si="18"/>
        <v>CSD,version,6.01,with,Feb,2026,update</v>
      </c>
      <c r="AJ230" t="str">
        <f t="shared" si="19"/>
        <v>C8,N4,S3</v>
      </c>
      <c r="AK230" s="4" t="s">
        <v>3059</v>
      </c>
      <c r="AL230">
        <v>1</v>
      </c>
      <c r="AM230">
        <v>7</v>
      </c>
      <c r="AN230" t="str">
        <f>IF(AM230&lt;&gt;"",CONCATENATE(AC230," &amp; \ce{",SUBSTITUTE(AJ230,","," "),"} &amp; ",SUBSTITUTE(AF230,"."," ")," &amp; ",AL230," &amp; ",AM230," \\"),"")</f>
        <v>NACJAF &amp; \ce{C8 N4 S3} &amp; Blind Test XXII (NACJAF) &amp; 1 &amp; 7 \\</v>
      </c>
    </row>
    <row r="231" spans="1:40" x14ac:dyDescent="0.2">
      <c r="A231" t="s">
        <v>396</v>
      </c>
      <c r="B231" t="s">
        <v>397</v>
      </c>
      <c r="C231">
        <v>2</v>
      </c>
      <c r="D231" t="s">
        <v>8</v>
      </c>
      <c r="E231" t="s">
        <v>398</v>
      </c>
      <c r="F231" t="s">
        <v>399</v>
      </c>
      <c r="G231" s="4" t="s">
        <v>396</v>
      </c>
      <c r="H231" t="s">
        <v>830</v>
      </c>
      <c r="I231" t="s">
        <v>2385</v>
      </c>
      <c r="J231" t="s">
        <v>1294</v>
      </c>
      <c r="K231" t="s">
        <v>840</v>
      </c>
      <c r="L231" t="s">
        <v>2369</v>
      </c>
      <c r="M231" t="s">
        <v>901</v>
      </c>
      <c r="N231">
        <v>2015</v>
      </c>
      <c r="O231" t="s">
        <v>830</v>
      </c>
      <c r="P231" t="s">
        <v>1520</v>
      </c>
      <c r="Q231" t="s">
        <v>830</v>
      </c>
      <c r="T231" t="s">
        <v>830</v>
      </c>
      <c r="U231" t="s">
        <v>830</v>
      </c>
      <c r="W231" t="s">
        <v>2343</v>
      </c>
      <c r="X231" t="s">
        <v>2380</v>
      </c>
      <c r="Y231" t="s">
        <v>830</v>
      </c>
      <c r="Z231">
        <v>1</v>
      </c>
      <c r="AA231">
        <v>997</v>
      </c>
      <c r="AB231">
        <v>26.75</v>
      </c>
      <c r="AC231" t="str">
        <f t="shared" si="16"/>
        <v/>
      </c>
      <c r="AE231" t="str">
        <f t="shared" si="17"/>
        <v/>
      </c>
      <c r="AI231" t="str">
        <f t="shared" si="18"/>
        <v/>
      </c>
      <c r="AJ231" t="str">
        <f t="shared" si="19"/>
        <v/>
      </c>
      <c r="AN231" t="str">
        <f t="shared" ref="AN231:AN236" si="21">IF(AM231&lt;&gt;"",CONCATENATE(AC231," &amp; ",SUBSTITUTE(AJ231,","," ")," &amp; ",SUBSTITUTE(AF231,"."," ")," &amp; ",AL231," &amp; ",AM231," \\"),"")</f>
        <v/>
      </c>
    </row>
    <row r="232" spans="1:40" s="4" customFormat="1" x14ac:dyDescent="0.2">
      <c r="A232" t="s">
        <v>396</v>
      </c>
      <c r="B232" t="s">
        <v>397</v>
      </c>
      <c r="C232">
        <v>10</v>
      </c>
      <c r="D232" t="s">
        <v>8</v>
      </c>
      <c r="E232" t="s">
        <v>398</v>
      </c>
      <c r="F232" t="s">
        <v>399</v>
      </c>
      <c r="G232" s="4" t="s">
        <v>396</v>
      </c>
      <c r="H232" t="s">
        <v>830</v>
      </c>
      <c r="I232" t="s">
        <v>2385</v>
      </c>
      <c r="J232" t="s">
        <v>1290</v>
      </c>
      <c r="K232" t="s">
        <v>840</v>
      </c>
      <c r="L232" t="s">
        <v>2370</v>
      </c>
      <c r="M232" t="s">
        <v>2373</v>
      </c>
      <c r="N232">
        <v>2015</v>
      </c>
      <c r="O232" t="s">
        <v>830</v>
      </c>
      <c r="P232" t="s">
        <v>1520</v>
      </c>
      <c r="Q232" t="s">
        <v>830</v>
      </c>
      <c r="R232"/>
      <c r="S232"/>
      <c r="T232" t="s">
        <v>830</v>
      </c>
      <c r="U232" t="s">
        <v>830</v>
      </c>
      <c r="V232"/>
      <c r="W232" t="s">
        <v>2343</v>
      </c>
      <c r="X232" t="s">
        <v>2375</v>
      </c>
      <c r="Y232" t="s">
        <v>830</v>
      </c>
      <c r="Z232">
        <v>1</v>
      </c>
      <c r="AA232">
        <v>908</v>
      </c>
      <c r="AB232">
        <v>19</v>
      </c>
      <c r="AC232" t="str">
        <f t="shared" si="16"/>
        <v/>
      </c>
      <c r="AD232"/>
      <c r="AE232" t="str">
        <f t="shared" si="17"/>
        <v/>
      </c>
      <c r="AF232"/>
      <c r="AG232" s="15"/>
      <c r="AH232"/>
      <c r="AI232" t="str">
        <f t="shared" si="18"/>
        <v/>
      </c>
      <c r="AJ232" t="str">
        <f t="shared" si="19"/>
        <v/>
      </c>
      <c r="AK232"/>
      <c r="AL232"/>
      <c r="AM232"/>
      <c r="AN232" t="str">
        <f t="shared" si="21"/>
        <v/>
      </c>
    </row>
    <row r="233" spans="1:40" x14ac:dyDescent="0.2">
      <c r="A233" t="s">
        <v>396</v>
      </c>
      <c r="B233" t="s">
        <v>397</v>
      </c>
      <c r="C233">
        <v>11</v>
      </c>
      <c r="D233" t="s">
        <v>8</v>
      </c>
      <c r="E233" t="s">
        <v>398</v>
      </c>
      <c r="F233" t="s">
        <v>399</v>
      </c>
      <c r="G233" s="4" t="s">
        <v>396</v>
      </c>
      <c r="H233" t="s">
        <v>830</v>
      </c>
      <c r="I233" t="s">
        <v>2385</v>
      </c>
      <c r="J233" t="s">
        <v>1291</v>
      </c>
      <c r="K233" t="s">
        <v>840</v>
      </c>
      <c r="L233" t="s">
        <v>2370</v>
      </c>
      <c r="M233" t="s">
        <v>900</v>
      </c>
      <c r="N233">
        <v>2015</v>
      </c>
      <c r="O233" t="s">
        <v>830</v>
      </c>
      <c r="P233" t="s">
        <v>1520</v>
      </c>
      <c r="Q233" t="s">
        <v>830</v>
      </c>
      <c r="T233" t="s">
        <v>830</v>
      </c>
      <c r="U233" t="s">
        <v>830</v>
      </c>
      <c r="W233" t="s">
        <v>2343</v>
      </c>
      <c r="X233" t="s">
        <v>2376</v>
      </c>
      <c r="Y233" t="s">
        <v>830</v>
      </c>
      <c r="Z233">
        <v>1</v>
      </c>
      <c r="AA233">
        <v>853</v>
      </c>
      <c r="AB233">
        <v>21.033000000000001</v>
      </c>
      <c r="AC233" t="str">
        <f t="shared" si="16"/>
        <v/>
      </c>
      <c r="AE233" t="str">
        <f t="shared" si="17"/>
        <v/>
      </c>
      <c r="AI233" t="str">
        <f t="shared" si="18"/>
        <v/>
      </c>
      <c r="AJ233" t="str">
        <f t="shared" si="19"/>
        <v/>
      </c>
      <c r="AN233" t="str">
        <f t="shared" si="21"/>
        <v/>
      </c>
    </row>
    <row r="234" spans="1:40" x14ac:dyDescent="0.2">
      <c r="A234" t="s">
        <v>396</v>
      </c>
      <c r="B234" t="s">
        <v>397</v>
      </c>
      <c r="C234">
        <v>20</v>
      </c>
      <c r="D234" t="s">
        <v>8</v>
      </c>
      <c r="E234" t="s">
        <v>398</v>
      </c>
      <c r="F234" t="s">
        <v>399</v>
      </c>
      <c r="G234" s="4" t="s">
        <v>396</v>
      </c>
      <c r="H234" t="s">
        <v>830</v>
      </c>
      <c r="I234" t="s">
        <v>2385</v>
      </c>
      <c r="J234" t="s">
        <v>1292</v>
      </c>
      <c r="K234" t="s">
        <v>840</v>
      </c>
      <c r="L234" t="s">
        <v>2140</v>
      </c>
      <c r="M234" t="s">
        <v>900</v>
      </c>
      <c r="N234">
        <v>2015</v>
      </c>
      <c r="O234" t="s">
        <v>830</v>
      </c>
      <c r="P234" t="s">
        <v>1520</v>
      </c>
      <c r="Q234" t="s">
        <v>830</v>
      </c>
      <c r="T234" t="s">
        <v>830</v>
      </c>
      <c r="U234" t="s">
        <v>830</v>
      </c>
      <c r="W234" t="s">
        <v>2343</v>
      </c>
      <c r="X234" t="s">
        <v>2374</v>
      </c>
      <c r="Y234" t="s">
        <v>830</v>
      </c>
      <c r="Z234">
        <v>1</v>
      </c>
      <c r="AA234">
        <v>1843</v>
      </c>
      <c r="AB234">
        <v>20</v>
      </c>
      <c r="AC234" t="str">
        <f t="shared" si="16"/>
        <v/>
      </c>
      <c r="AE234" t="str">
        <f t="shared" si="17"/>
        <v/>
      </c>
      <c r="AI234" t="str">
        <f t="shared" si="18"/>
        <v/>
      </c>
      <c r="AJ234" t="str">
        <f t="shared" si="19"/>
        <v/>
      </c>
      <c r="AK234" s="4"/>
      <c r="AL234" s="4"/>
      <c r="AM234" s="4"/>
      <c r="AN234" t="str">
        <f t="shared" si="21"/>
        <v/>
      </c>
    </row>
    <row r="235" spans="1:40" x14ac:dyDescent="0.2">
      <c r="A235" t="s">
        <v>396</v>
      </c>
      <c r="B235" t="s">
        <v>397</v>
      </c>
      <c r="C235">
        <v>30</v>
      </c>
      <c r="D235" t="s">
        <v>8</v>
      </c>
      <c r="E235" t="s">
        <v>398</v>
      </c>
      <c r="F235" t="s">
        <v>399</v>
      </c>
      <c r="G235" s="4" t="s">
        <v>396</v>
      </c>
      <c r="H235" t="s">
        <v>830</v>
      </c>
      <c r="I235" t="s">
        <v>2385</v>
      </c>
      <c r="J235" t="s">
        <v>1295</v>
      </c>
      <c r="K235" t="s">
        <v>840</v>
      </c>
      <c r="L235" t="s">
        <v>1513</v>
      </c>
      <c r="M235" t="s">
        <v>900</v>
      </c>
      <c r="N235">
        <v>2015</v>
      </c>
      <c r="O235" t="s">
        <v>830</v>
      </c>
      <c r="P235" t="s">
        <v>1520</v>
      </c>
      <c r="Q235" t="s">
        <v>830</v>
      </c>
      <c r="T235" t="s">
        <v>830</v>
      </c>
      <c r="U235" t="s">
        <v>830</v>
      </c>
      <c r="W235" t="s">
        <v>2343</v>
      </c>
      <c r="X235" t="s">
        <v>2377</v>
      </c>
      <c r="Y235" t="s">
        <v>830</v>
      </c>
      <c r="Z235">
        <v>1</v>
      </c>
      <c r="AA235">
        <v>908</v>
      </c>
      <c r="AB235">
        <v>23.283000000000001</v>
      </c>
      <c r="AC235" t="str">
        <f t="shared" si="16"/>
        <v/>
      </c>
      <c r="AE235" t="str">
        <f t="shared" si="17"/>
        <v/>
      </c>
      <c r="AI235" t="str">
        <f t="shared" si="18"/>
        <v/>
      </c>
      <c r="AJ235" t="str">
        <f t="shared" si="19"/>
        <v/>
      </c>
      <c r="AN235" t="str">
        <f t="shared" si="21"/>
        <v/>
      </c>
    </row>
    <row r="236" spans="1:40" x14ac:dyDescent="0.2">
      <c r="A236" t="s">
        <v>396</v>
      </c>
      <c r="B236" t="s">
        <v>397</v>
      </c>
      <c r="C236">
        <v>31</v>
      </c>
      <c r="D236" t="s">
        <v>8</v>
      </c>
      <c r="E236" t="s">
        <v>398</v>
      </c>
      <c r="F236" t="s">
        <v>399</v>
      </c>
      <c r="G236" s="4" t="s">
        <v>396</v>
      </c>
      <c r="H236" t="s">
        <v>830</v>
      </c>
      <c r="I236" t="s">
        <v>2385</v>
      </c>
      <c r="J236" t="s">
        <v>1296</v>
      </c>
      <c r="K236" t="s">
        <v>840</v>
      </c>
      <c r="L236" t="s">
        <v>2173</v>
      </c>
      <c r="M236" t="s">
        <v>2372</v>
      </c>
      <c r="N236">
        <v>2015</v>
      </c>
      <c r="O236" t="s">
        <v>830</v>
      </c>
      <c r="P236" t="s">
        <v>2371</v>
      </c>
      <c r="Q236" t="s">
        <v>830</v>
      </c>
      <c r="T236" t="s">
        <v>830</v>
      </c>
      <c r="U236" t="s">
        <v>830</v>
      </c>
      <c r="W236" t="s">
        <v>2343</v>
      </c>
      <c r="X236" t="s">
        <v>2378</v>
      </c>
      <c r="Y236" t="s">
        <v>830</v>
      </c>
      <c r="Z236">
        <v>1</v>
      </c>
      <c r="AA236">
        <v>853</v>
      </c>
      <c r="AB236">
        <v>25.855</v>
      </c>
      <c r="AC236" t="str">
        <f t="shared" si="16"/>
        <v/>
      </c>
      <c r="AE236" t="str">
        <f t="shared" si="17"/>
        <v/>
      </c>
      <c r="AI236" t="str">
        <f t="shared" si="18"/>
        <v/>
      </c>
      <c r="AJ236" t="str">
        <f t="shared" si="19"/>
        <v/>
      </c>
      <c r="AN236" t="str">
        <f t="shared" si="21"/>
        <v/>
      </c>
    </row>
    <row r="237" spans="1:40" s="8" customFormat="1" x14ac:dyDescent="0.2">
      <c r="A237" t="s">
        <v>400</v>
      </c>
      <c r="B237" t="s">
        <v>401</v>
      </c>
      <c r="C237">
        <v>0</v>
      </c>
      <c r="D237" t="s">
        <v>402</v>
      </c>
      <c r="E237" t="s">
        <v>402</v>
      </c>
      <c r="F237" t="s">
        <v>8</v>
      </c>
      <c r="G237" t="s">
        <v>2725</v>
      </c>
      <c r="H237" t="s">
        <v>830</v>
      </c>
      <c r="I237" t="s">
        <v>2385</v>
      </c>
      <c r="J237" t="s">
        <v>1214</v>
      </c>
      <c r="K237" t="s">
        <v>2524</v>
      </c>
      <c r="L237" t="s">
        <v>1553</v>
      </c>
      <c r="M237" t="s">
        <v>876</v>
      </c>
      <c r="N237" t="s">
        <v>1876</v>
      </c>
      <c r="O237" t="s">
        <v>830</v>
      </c>
      <c r="P237" t="s">
        <v>2714</v>
      </c>
      <c r="Q237" t="s">
        <v>830</v>
      </c>
      <c r="R237"/>
      <c r="S237"/>
      <c r="T237" t="s">
        <v>830</v>
      </c>
      <c r="U237" t="s">
        <v>830</v>
      </c>
      <c r="V237"/>
      <c r="W237" t="s">
        <v>2692</v>
      </c>
      <c r="X237" t="s">
        <v>2726</v>
      </c>
      <c r="Y237" t="s">
        <v>830</v>
      </c>
      <c r="Z237">
        <v>1</v>
      </c>
      <c r="AA237">
        <v>49</v>
      </c>
      <c r="AB237">
        <v>4.91</v>
      </c>
      <c r="AC237" t="str">
        <f t="shared" si="16"/>
        <v>NAPHTA</v>
      </c>
      <c r="AD237" t="s">
        <v>402</v>
      </c>
      <c r="AE237" t="str">
        <f t="shared" si="17"/>
        <v>Naphthalene</v>
      </c>
      <c r="AF237" t="str">
        <f>AE237</f>
        <v>Naphthalene</v>
      </c>
      <c r="AG237" s="15" t="s">
        <v>3132</v>
      </c>
      <c r="AH237" t="s">
        <v>2884</v>
      </c>
      <c r="AI237" t="str">
        <f t="shared" si="18"/>
        <v>CSD,version,6.01,with,Feb,2026,update</v>
      </c>
      <c r="AJ237" t="str">
        <f t="shared" si="19"/>
        <v>C10,H8</v>
      </c>
      <c r="AK237"/>
      <c r="AL237">
        <v>2</v>
      </c>
      <c r="AM237">
        <v>2</v>
      </c>
      <c r="AN237" t="str">
        <f>IF(AM237&lt;&gt;"",CONCATENATE(AC237," &amp; \ce{",SUBSTITUTE(AJ237,","," "),"} &amp; ",SUBSTITUTE(AF237,"."," ")," &amp; ",AL237," &amp; ",AM237," \\"),"")</f>
        <v>NAPHTA &amp; \ce{C10 H8} &amp; Naphthalene &amp; 2 &amp; 2 \\</v>
      </c>
    </row>
    <row r="238" spans="1:40" x14ac:dyDescent="0.2">
      <c r="A238" t="s">
        <v>400</v>
      </c>
      <c r="B238" t="s">
        <v>401</v>
      </c>
      <c r="C238">
        <v>1</v>
      </c>
      <c r="D238" t="s">
        <v>402</v>
      </c>
      <c r="E238" t="s">
        <v>402</v>
      </c>
      <c r="F238" t="s">
        <v>8</v>
      </c>
      <c r="G238" t="s">
        <v>2725</v>
      </c>
      <c r="H238" t="s">
        <v>830</v>
      </c>
      <c r="I238" t="s">
        <v>2385</v>
      </c>
      <c r="J238" t="s">
        <v>1215</v>
      </c>
      <c r="K238" t="s">
        <v>2524</v>
      </c>
      <c r="L238" t="s">
        <v>1553</v>
      </c>
      <c r="M238" t="s">
        <v>876</v>
      </c>
      <c r="N238" t="s">
        <v>1876</v>
      </c>
      <c r="O238" t="s">
        <v>830</v>
      </c>
      <c r="P238" t="s">
        <v>881</v>
      </c>
      <c r="Q238" t="s">
        <v>830</v>
      </c>
      <c r="T238" t="s">
        <v>830</v>
      </c>
      <c r="U238" t="s">
        <v>830</v>
      </c>
      <c r="W238" t="s">
        <v>2692</v>
      </c>
      <c r="X238" t="s">
        <v>2727</v>
      </c>
      <c r="Y238" t="s">
        <v>830</v>
      </c>
      <c r="Z238">
        <v>1</v>
      </c>
      <c r="AA238">
        <v>24</v>
      </c>
      <c r="AB238">
        <v>5</v>
      </c>
      <c r="AC238" t="str">
        <f t="shared" si="16"/>
        <v/>
      </c>
      <c r="AE238" t="str">
        <f t="shared" si="17"/>
        <v/>
      </c>
      <c r="AI238" t="str">
        <f t="shared" si="18"/>
        <v/>
      </c>
      <c r="AJ238" t="str">
        <f t="shared" si="19"/>
        <v/>
      </c>
      <c r="AN238" t="str">
        <f>IF(AM238&lt;&gt;"",CONCATENATE(AC238," &amp; ",SUBSTITUTE(AJ238,","," ")," &amp; ",SUBSTITUTE(AF238,"."," ")," &amp; ",AL238," &amp; ",AM238," \\"),"")</f>
        <v/>
      </c>
    </row>
    <row r="239" spans="1:40" ht="15" x14ac:dyDescent="0.25">
      <c r="A239" t="s">
        <v>403</v>
      </c>
      <c r="B239" s="17" t="s">
        <v>404</v>
      </c>
      <c r="C239">
        <v>1</v>
      </c>
      <c r="D239" t="s">
        <v>405</v>
      </c>
      <c r="E239" t="s">
        <v>406</v>
      </c>
      <c r="F239" t="s">
        <v>8</v>
      </c>
      <c r="G239" t="s">
        <v>407</v>
      </c>
      <c r="H239" t="s">
        <v>830</v>
      </c>
      <c r="I239" t="s">
        <v>1952</v>
      </c>
      <c r="J239" t="s">
        <v>1416</v>
      </c>
      <c r="K239" t="s">
        <v>839</v>
      </c>
      <c r="L239" t="s">
        <v>1805</v>
      </c>
      <c r="M239" t="s">
        <v>876</v>
      </c>
      <c r="N239">
        <v>2013</v>
      </c>
      <c r="O239" t="s">
        <v>830</v>
      </c>
      <c r="P239" t="s">
        <v>891</v>
      </c>
      <c r="Q239" t="s">
        <v>830</v>
      </c>
      <c r="T239" t="s">
        <v>830</v>
      </c>
      <c r="U239" t="s">
        <v>830</v>
      </c>
      <c r="W239" t="s">
        <v>1949</v>
      </c>
      <c r="X239" t="s">
        <v>1954</v>
      </c>
      <c r="Y239" t="s">
        <v>830</v>
      </c>
      <c r="Z239">
        <v>1</v>
      </c>
      <c r="AA239">
        <v>343</v>
      </c>
      <c r="AB239">
        <v>30</v>
      </c>
      <c r="AC239" t="str">
        <f t="shared" si="16"/>
        <v>NDNHCL</v>
      </c>
      <c r="AD239" t="s">
        <v>2903</v>
      </c>
      <c r="AE239" t="str">
        <f t="shared" si="17"/>
        <v>Clozapine</v>
      </c>
      <c r="AF239" t="str">
        <f>AE239</f>
        <v>Clozapine</v>
      </c>
      <c r="AG239" s="18" t="s">
        <v>2905</v>
      </c>
      <c r="AH239" t="s">
        <v>2906</v>
      </c>
      <c r="AI239" t="str">
        <f t="shared" si="18"/>
        <v>CSD,version,6.01</v>
      </c>
      <c r="AJ239" t="str">
        <f t="shared" si="19"/>
        <v>C18,H19,N4,Cl1</v>
      </c>
      <c r="AK239" s="8" t="s">
        <v>3417</v>
      </c>
      <c r="AL239" s="8">
        <v>2</v>
      </c>
      <c r="AM239" s="8">
        <v>3</v>
      </c>
      <c r="AN239" t="str">
        <f>IF(AM239&lt;&gt;"",CONCATENATE(AC239," &amp; \ce{",SUBSTITUTE(AJ239,","," "),"} &amp; ",SUBSTITUTE(AF239,"."," ")," &amp; ",AL239," &amp; ",AM239," \\"),"")</f>
        <v>NDNHCL &amp; \ce{C18 H19 N4 Cl1} &amp; Clozapine &amp; 2 &amp; 3 \\</v>
      </c>
    </row>
    <row r="240" spans="1:40" ht="15" x14ac:dyDescent="0.25">
      <c r="A240" t="s">
        <v>403</v>
      </c>
      <c r="B240" s="17" t="s">
        <v>404</v>
      </c>
      <c r="C240">
        <v>10</v>
      </c>
      <c r="D240" t="s">
        <v>405</v>
      </c>
      <c r="E240" t="s">
        <v>406</v>
      </c>
      <c r="F240" t="s">
        <v>8</v>
      </c>
      <c r="G240" t="s">
        <v>407</v>
      </c>
      <c r="H240" t="s">
        <v>830</v>
      </c>
      <c r="I240" t="s">
        <v>1952</v>
      </c>
      <c r="J240" t="s">
        <v>2400</v>
      </c>
      <c r="K240" t="s">
        <v>839</v>
      </c>
      <c r="L240" t="s">
        <v>1609</v>
      </c>
      <c r="M240" t="s">
        <v>876</v>
      </c>
      <c r="N240">
        <v>2025</v>
      </c>
      <c r="O240" t="s">
        <v>830</v>
      </c>
      <c r="P240" t="s">
        <v>1953</v>
      </c>
      <c r="Q240" t="s">
        <v>830</v>
      </c>
      <c r="T240" t="s">
        <v>830</v>
      </c>
      <c r="U240" t="s">
        <v>830</v>
      </c>
      <c r="W240" t="s">
        <v>1949</v>
      </c>
      <c r="X240" t="s">
        <v>1955</v>
      </c>
      <c r="Y240" t="s">
        <v>830</v>
      </c>
      <c r="Z240">
        <v>1</v>
      </c>
      <c r="AA240">
        <v>1415</v>
      </c>
      <c r="AB240">
        <v>20</v>
      </c>
      <c r="AC240" t="str">
        <f t="shared" si="16"/>
        <v/>
      </c>
      <c r="AE240" t="str">
        <f t="shared" si="17"/>
        <v/>
      </c>
      <c r="AI240" t="str">
        <f t="shared" si="18"/>
        <v/>
      </c>
      <c r="AJ240" t="str">
        <f t="shared" si="19"/>
        <v/>
      </c>
      <c r="AN240" t="str">
        <f>IF(AM240&lt;&gt;"",CONCATENATE(AC240," &amp; ",SUBSTITUTE(AJ240,","," ")," &amp; ",SUBSTITUTE(AF240,"."," ")," &amp; ",AL240," &amp; ",AM240," \\"),"")</f>
        <v/>
      </c>
    </row>
    <row r="241" spans="1:40" x14ac:dyDescent="0.2">
      <c r="A241" t="s">
        <v>403</v>
      </c>
      <c r="B241" t="s">
        <v>404</v>
      </c>
      <c r="C241">
        <v>20</v>
      </c>
      <c r="D241" t="s">
        <v>405</v>
      </c>
      <c r="E241" t="s">
        <v>406</v>
      </c>
      <c r="F241" t="s">
        <v>8</v>
      </c>
      <c r="G241" t="s">
        <v>407</v>
      </c>
      <c r="H241" t="s">
        <v>830</v>
      </c>
      <c r="I241" t="s">
        <v>1952</v>
      </c>
      <c r="J241" t="s">
        <v>2401</v>
      </c>
      <c r="K241" t="s">
        <v>839</v>
      </c>
      <c r="L241" t="s">
        <v>1951</v>
      </c>
      <c r="M241" t="s">
        <v>876</v>
      </c>
      <c r="N241">
        <v>2014</v>
      </c>
      <c r="O241" t="s">
        <v>830</v>
      </c>
      <c r="P241" t="s">
        <v>891</v>
      </c>
      <c r="Q241" t="s">
        <v>830</v>
      </c>
      <c r="T241" t="s">
        <v>830</v>
      </c>
      <c r="U241" t="s">
        <v>830</v>
      </c>
      <c r="W241" t="s">
        <v>1949</v>
      </c>
      <c r="X241" t="s">
        <v>1956</v>
      </c>
      <c r="Y241" t="s">
        <v>830</v>
      </c>
      <c r="Z241">
        <v>1</v>
      </c>
      <c r="AA241">
        <v>7922</v>
      </c>
      <c r="AB241">
        <v>30</v>
      </c>
      <c r="AC241" t="str">
        <f t="shared" si="16"/>
        <v/>
      </c>
      <c r="AE241" t="str">
        <f t="shared" si="17"/>
        <v/>
      </c>
      <c r="AI241" t="str">
        <f t="shared" si="18"/>
        <v/>
      </c>
      <c r="AJ241" t="str">
        <f t="shared" si="19"/>
        <v/>
      </c>
      <c r="AN241" t="str">
        <f>IF(AM241&lt;&gt;"",CONCATENATE(AC241," &amp; ",SUBSTITUTE(AJ241,","," ")," &amp; ",SUBSTITUTE(AF241,"."," ")," &amp; ",AL241," &amp; ",AM241," \\"),"")</f>
        <v/>
      </c>
    </row>
    <row r="242" spans="1:40" ht="15" x14ac:dyDescent="0.25">
      <c r="A242" t="s">
        <v>408</v>
      </c>
      <c r="B242" t="s">
        <v>409</v>
      </c>
      <c r="C242">
        <v>0</v>
      </c>
      <c r="D242" t="s">
        <v>410</v>
      </c>
      <c r="E242" t="s">
        <v>411</v>
      </c>
      <c r="F242" t="s">
        <v>8</v>
      </c>
      <c r="G242" t="s">
        <v>412</v>
      </c>
      <c r="H242" t="s">
        <v>830</v>
      </c>
      <c r="I242" t="s">
        <v>1884</v>
      </c>
      <c r="J242" t="s">
        <v>1420</v>
      </c>
      <c r="K242" t="s">
        <v>839</v>
      </c>
      <c r="L242" t="s">
        <v>1805</v>
      </c>
      <c r="M242" t="s">
        <v>876</v>
      </c>
      <c r="N242">
        <v>2013</v>
      </c>
      <c r="O242" t="s">
        <v>830</v>
      </c>
      <c r="P242" t="s">
        <v>891</v>
      </c>
      <c r="Q242" t="s">
        <v>830</v>
      </c>
      <c r="T242" t="s">
        <v>830</v>
      </c>
      <c r="U242" t="s">
        <v>830</v>
      </c>
      <c r="W242" t="s">
        <v>1949</v>
      </c>
      <c r="X242" t="s">
        <v>1937</v>
      </c>
      <c r="Y242" t="s">
        <v>830</v>
      </c>
      <c r="Z242">
        <v>2</v>
      </c>
      <c r="AA242">
        <v>1906</v>
      </c>
      <c r="AB242">
        <v>30</v>
      </c>
      <c r="AC242" t="str">
        <f t="shared" si="16"/>
        <v>NDOCLH</v>
      </c>
      <c r="AD242" t="s">
        <v>2904</v>
      </c>
      <c r="AE242" t="str">
        <f t="shared" si="17"/>
        <v>Loxapine</v>
      </c>
      <c r="AF242" t="str">
        <f>AE242</f>
        <v>Loxapine</v>
      </c>
      <c r="AG242" s="18" t="s">
        <v>2905</v>
      </c>
      <c r="AH242" t="s">
        <v>2906</v>
      </c>
      <c r="AI242" t="str">
        <f t="shared" si="18"/>
        <v>CSD,version,5.46,with,Feb,2025,update</v>
      </c>
      <c r="AJ242" t="str">
        <f t="shared" si="19"/>
        <v>C18,H18,N3,O1,Cl1</v>
      </c>
      <c r="AK242" t="s">
        <v>3417</v>
      </c>
      <c r="AL242">
        <v>2</v>
      </c>
      <c r="AM242">
        <v>3</v>
      </c>
      <c r="AN242" t="str">
        <f>IF(AM242&lt;&gt;"",CONCATENATE(AC242," &amp; \ce{",SUBSTITUTE(AJ242,","," "),"} &amp; ",SUBSTITUTE(AF242,"."," ")," &amp; ",AL242," &amp; ",AM242," \\"),"")</f>
        <v>NDOCLH &amp; \ce{C18 H18 N3 O1 Cl1} &amp; Loxapine &amp; 2 &amp; 3 \\</v>
      </c>
    </row>
    <row r="243" spans="1:40" ht="15" x14ac:dyDescent="0.25">
      <c r="A243" t="s">
        <v>408</v>
      </c>
      <c r="B243" s="17" t="s">
        <v>409</v>
      </c>
      <c r="C243">
        <v>10</v>
      </c>
      <c r="D243" t="s">
        <v>410</v>
      </c>
      <c r="E243" t="s">
        <v>411</v>
      </c>
      <c r="F243" t="s">
        <v>8</v>
      </c>
      <c r="G243" t="s">
        <v>1933</v>
      </c>
      <c r="H243" t="s">
        <v>830</v>
      </c>
      <c r="I243" t="s">
        <v>1884</v>
      </c>
      <c r="J243" t="s">
        <v>2402</v>
      </c>
      <c r="K243" t="s">
        <v>839</v>
      </c>
      <c r="L243" t="s">
        <v>1935</v>
      </c>
      <c r="M243" t="s">
        <v>876</v>
      </c>
      <c r="N243">
        <v>2016</v>
      </c>
      <c r="O243" t="s">
        <v>830</v>
      </c>
      <c r="P243" t="s">
        <v>1950</v>
      </c>
      <c r="Q243" t="s">
        <v>830</v>
      </c>
      <c r="T243" t="s">
        <v>830</v>
      </c>
      <c r="U243" t="s">
        <v>830</v>
      </c>
      <c r="W243" t="s">
        <v>1949</v>
      </c>
      <c r="X243" t="s">
        <v>1938</v>
      </c>
      <c r="Y243" t="s">
        <v>830</v>
      </c>
      <c r="Z243">
        <v>2</v>
      </c>
      <c r="AA243">
        <v>2090</v>
      </c>
      <c r="AB243">
        <v>22</v>
      </c>
      <c r="AC243" t="str">
        <f t="shared" si="16"/>
        <v/>
      </c>
      <c r="AE243" t="str">
        <f t="shared" si="17"/>
        <v/>
      </c>
      <c r="AI243" t="str">
        <f t="shared" si="18"/>
        <v/>
      </c>
      <c r="AJ243" t="str">
        <f t="shared" si="19"/>
        <v/>
      </c>
      <c r="AN243" t="str">
        <f>IF(AM243&lt;&gt;"",CONCATENATE(AC243," &amp; ",SUBSTITUTE(AJ243,","," ")," &amp; ",SUBSTITUTE(AF243,"."," ")," &amp; ",AL243," &amp; ",AM243," \\"),"")</f>
        <v/>
      </c>
    </row>
    <row r="244" spans="1:40" ht="12.75" customHeight="1" x14ac:dyDescent="0.2">
      <c r="A244" t="s">
        <v>408</v>
      </c>
      <c r="B244" t="s">
        <v>409</v>
      </c>
      <c r="C244">
        <v>20</v>
      </c>
      <c r="D244" t="s">
        <v>410</v>
      </c>
      <c r="E244" t="s">
        <v>411</v>
      </c>
      <c r="F244" t="s">
        <v>8</v>
      </c>
      <c r="G244" t="s">
        <v>1934</v>
      </c>
      <c r="H244" t="s">
        <v>830</v>
      </c>
      <c r="I244" t="s">
        <v>1884</v>
      </c>
      <c r="J244" t="s">
        <v>1419</v>
      </c>
      <c r="K244" t="s">
        <v>839</v>
      </c>
      <c r="L244" t="s">
        <v>1936</v>
      </c>
      <c r="M244" t="s">
        <v>876</v>
      </c>
      <c r="N244">
        <v>2016</v>
      </c>
      <c r="O244" t="s">
        <v>830</v>
      </c>
      <c r="P244" t="s">
        <v>891</v>
      </c>
      <c r="Q244" t="s">
        <v>830</v>
      </c>
      <c r="T244" t="s">
        <v>830</v>
      </c>
      <c r="U244" t="s">
        <v>830</v>
      </c>
      <c r="W244" t="s">
        <v>1949</v>
      </c>
      <c r="X244" t="s">
        <v>1939</v>
      </c>
      <c r="Y244" t="s">
        <v>830</v>
      </c>
      <c r="Z244">
        <v>2</v>
      </c>
      <c r="AA244">
        <v>2344</v>
      </c>
      <c r="AB244">
        <v>20</v>
      </c>
      <c r="AC244" t="str">
        <f t="shared" si="16"/>
        <v/>
      </c>
      <c r="AE244" t="str">
        <f t="shared" si="17"/>
        <v/>
      </c>
      <c r="AI244" t="str">
        <f t="shared" si="18"/>
        <v/>
      </c>
      <c r="AJ244" t="str">
        <f t="shared" si="19"/>
        <v/>
      </c>
      <c r="AN244" t="str">
        <f>IF(AM244&lt;&gt;"",CONCATENATE(AC244," &amp; ",SUBSTITUTE(AJ244,","," ")," &amp; ",SUBSTITUTE(AF244,"."," ")," &amp; ",AL244," &amp; ",AM244," \\"),"")</f>
        <v/>
      </c>
    </row>
    <row r="245" spans="1:40" s="8" customFormat="1" x14ac:dyDescent="0.2">
      <c r="A245" s="8" t="s">
        <v>413</v>
      </c>
      <c r="B245" s="8" t="s">
        <v>414</v>
      </c>
      <c r="C245" s="8">
        <v>0</v>
      </c>
      <c r="D245" s="8" t="s">
        <v>415</v>
      </c>
      <c r="E245" s="8" t="s">
        <v>415</v>
      </c>
      <c r="F245" s="8" t="s">
        <v>8</v>
      </c>
      <c r="G245" s="8" t="s">
        <v>413</v>
      </c>
      <c r="H245" s="8" t="s">
        <v>2866</v>
      </c>
      <c r="K245" s="8" t="s">
        <v>913</v>
      </c>
      <c r="M245" s="8" t="s">
        <v>2505</v>
      </c>
      <c r="N245" s="8">
        <v>2010</v>
      </c>
      <c r="T245" s="8" t="s">
        <v>1598</v>
      </c>
      <c r="AA245" s="8">
        <v>114</v>
      </c>
      <c r="AB245" s="8">
        <v>19.835999999999999</v>
      </c>
      <c r="AC245" t="str">
        <f t="shared" si="16"/>
        <v/>
      </c>
      <c r="AD245"/>
      <c r="AE245" t="str">
        <f t="shared" si="17"/>
        <v/>
      </c>
      <c r="AF245"/>
      <c r="AG245" s="15"/>
      <c r="AH245"/>
      <c r="AI245" t="str">
        <f t="shared" si="18"/>
        <v/>
      </c>
      <c r="AJ245" t="str">
        <f t="shared" si="19"/>
        <v/>
      </c>
      <c r="AK245"/>
      <c r="AL245"/>
      <c r="AM245"/>
      <c r="AN245" t="str">
        <f>IF(AM245&lt;&gt;"",CONCATENATE(AC245," &amp; ",SUBSTITUTE(AJ245,","," ")," &amp; ",SUBSTITUTE(AF245,"."," ")," &amp; ",AL245," &amp; ",AM245," \\"),"")</f>
        <v/>
      </c>
    </row>
    <row r="246" spans="1:40" ht="15" x14ac:dyDescent="0.25">
      <c r="A246" t="s">
        <v>416</v>
      </c>
      <c r="B246" s="17" t="s">
        <v>3028</v>
      </c>
      <c r="C246">
        <v>10</v>
      </c>
      <c r="D246" t="s">
        <v>417</v>
      </c>
      <c r="E246" t="s">
        <v>418</v>
      </c>
      <c r="F246" t="s">
        <v>8</v>
      </c>
      <c r="G246" t="s">
        <v>419</v>
      </c>
      <c r="H246" t="s">
        <v>830</v>
      </c>
      <c r="I246" t="s">
        <v>1477</v>
      </c>
      <c r="J246" t="s">
        <v>1503</v>
      </c>
      <c r="K246" t="s">
        <v>1470</v>
      </c>
      <c r="L246" t="s">
        <v>1510</v>
      </c>
      <c r="M246" t="s">
        <v>876</v>
      </c>
      <c r="N246">
        <v>2018</v>
      </c>
      <c r="O246" t="s">
        <v>830</v>
      </c>
      <c r="P246" t="s">
        <v>1511</v>
      </c>
      <c r="Q246" t="s">
        <v>830</v>
      </c>
      <c r="T246" t="s">
        <v>830</v>
      </c>
      <c r="U246" t="s">
        <v>830</v>
      </c>
      <c r="W246" t="s">
        <v>1778</v>
      </c>
      <c r="X246" t="s">
        <v>1791</v>
      </c>
      <c r="Y246" t="s">
        <v>830</v>
      </c>
      <c r="Z246">
        <v>1</v>
      </c>
      <c r="AA246">
        <v>1478</v>
      </c>
      <c r="AB246">
        <v>28.713000000000001</v>
      </c>
      <c r="AC246" t="str">
        <f t="shared" si="16"/>
        <v>NIFLUM</v>
      </c>
      <c r="AD246" t="s">
        <v>3084</v>
      </c>
      <c r="AE246" t="str">
        <f t="shared" si="17"/>
        <v>NiflumicAcid</v>
      </c>
      <c r="AF246" t="s">
        <v>3447</v>
      </c>
      <c r="AG246" s="15" t="s">
        <v>2874</v>
      </c>
      <c r="AH246" t="s">
        <v>3080</v>
      </c>
      <c r="AI246" t="str">
        <f t="shared" si="18"/>
        <v>CSD,version,5.43,with,Mar,,Jun,,Sep,and,Nov,2022,updates</v>
      </c>
      <c r="AJ246" t="str">
        <f t="shared" si="19"/>
        <v>C13,H9,N2,O2,F3</v>
      </c>
      <c r="AK246" t="s">
        <v>3057</v>
      </c>
      <c r="AL246">
        <v>1</v>
      </c>
      <c r="AM246">
        <v>2</v>
      </c>
      <c r="AN246" t="str">
        <f>IF(AM246&lt;&gt;"",CONCATENATE(AC246," &amp; \ce{",SUBSTITUTE(AJ246,","," "),"} &amp; ",SUBSTITUTE(AF246,"."," ")," &amp; ",AL246," &amp; ",AM246," \\"),"")</f>
        <v>NIFLUM &amp; \ce{C13 H9 N2 O2 F3} &amp; Niflumic Acid &amp; 1 &amp; 2 \\</v>
      </c>
    </row>
    <row r="247" spans="1:40" ht="12.75" customHeight="1" x14ac:dyDescent="0.25">
      <c r="A247" t="s">
        <v>416</v>
      </c>
      <c r="B247" s="17" t="s">
        <v>3028</v>
      </c>
      <c r="C247">
        <v>11</v>
      </c>
      <c r="D247" t="s">
        <v>417</v>
      </c>
      <c r="E247" t="s">
        <v>418</v>
      </c>
      <c r="F247" t="s">
        <v>8</v>
      </c>
      <c r="G247" t="s">
        <v>419</v>
      </c>
      <c r="H247" t="s">
        <v>830</v>
      </c>
      <c r="I247" t="s">
        <v>1477</v>
      </c>
      <c r="J247" t="s">
        <v>1617</v>
      </c>
      <c r="K247" t="s">
        <v>839</v>
      </c>
      <c r="L247" t="s">
        <v>1616</v>
      </c>
      <c r="M247" t="s">
        <v>1586</v>
      </c>
      <c r="N247">
        <v>2024</v>
      </c>
      <c r="O247" t="s">
        <v>830</v>
      </c>
      <c r="P247" t="s">
        <v>891</v>
      </c>
      <c r="Q247" t="s">
        <v>830</v>
      </c>
      <c r="R247" t="s">
        <v>830</v>
      </c>
      <c r="S247" t="s">
        <v>830</v>
      </c>
      <c r="T247" t="s">
        <v>830</v>
      </c>
      <c r="U247" t="s">
        <v>830</v>
      </c>
      <c r="W247" t="s">
        <v>1778</v>
      </c>
      <c r="X247" t="s">
        <v>1790</v>
      </c>
      <c r="Y247" t="s">
        <v>830</v>
      </c>
      <c r="Z247">
        <v>1</v>
      </c>
      <c r="AA247">
        <v>17</v>
      </c>
      <c r="AB247">
        <v>35.637999999999998</v>
      </c>
      <c r="AC247" t="str">
        <f t="shared" si="16"/>
        <v/>
      </c>
      <c r="AE247" t="str">
        <f t="shared" si="17"/>
        <v/>
      </c>
      <c r="AI247" t="str">
        <f t="shared" si="18"/>
        <v/>
      </c>
      <c r="AJ247" t="str">
        <f t="shared" si="19"/>
        <v/>
      </c>
      <c r="AK247" s="8"/>
      <c r="AL247" s="8"/>
      <c r="AM247" s="8"/>
      <c r="AN247" t="str">
        <f>IF(AM247&lt;&gt;"",CONCATENATE(AC247," &amp; ",SUBSTITUTE(AJ247,","," ")," &amp; ",SUBSTITUTE(AF247,"."," ")," &amp; ",AL247," &amp; ",AM247," \\"),"")</f>
        <v/>
      </c>
    </row>
    <row r="248" spans="1:40" ht="12.75" customHeight="1" x14ac:dyDescent="0.2">
      <c r="A248" t="s">
        <v>1528</v>
      </c>
      <c r="B248" t="s">
        <v>1529</v>
      </c>
      <c r="C248">
        <v>10</v>
      </c>
      <c r="D248" t="s">
        <v>1530</v>
      </c>
      <c r="E248" t="s">
        <v>1531</v>
      </c>
      <c r="G248" t="s">
        <v>1532</v>
      </c>
      <c r="H248" t="s">
        <v>830</v>
      </c>
      <c r="I248" t="s">
        <v>1477</v>
      </c>
      <c r="J248" t="s">
        <v>1608</v>
      </c>
      <c r="K248" t="s">
        <v>1534</v>
      </c>
      <c r="L248" t="s">
        <v>1609</v>
      </c>
      <c r="M248" t="s">
        <v>1536</v>
      </c>
      <c r="N248" t="s">
        <v>1610</v>
      </c>
      <c r="O248" t="s">
        <v>830</v>
      </c>
      <c r="P248" t="s">
        <v>1536</v>
      </c>
      <c r="Q248" t="s">
        <v>830</v>
      </c>
      <c r="T248" t="s">
        <v>830</v>
      </c>
      <c r="U248" t="s">
        <v>830</v>
      </c>
      <c r="W248" t="s">
        <v>1958</v>
      </c>
      <c r="X248" t="s">
        <v>1985</v>
      </c>
      <c r="Y248" t="s">
        <v>830</v>
      </c>
      <c r="Z248">
        <v>2</v>
      </c>
      <c r="AA248">
        <v>394</v>
      </c>
      <c r="AB248">
        <v>13.24</v>
      </c>
      <c r="AC248" t="str">
        <f t="shared" si="16"/>
        <v>NIJHUJ</v>
      </c>
      <c r="AD248" t="s">
        <v>1530</v>
      </c>
      <c r="AE248" t="str">
        <f t="shared" si="17"/>
        <v>Dimethylurea</v>
      </c>
      <c r="AF248" t="str">
        <f>AE248</f>
        <v>Dimethylurea</v>
      </c>
      <c r="AG248" s="15" t="s">
        <v>2885</v>
      </c>
      <c r="AH248" t="s">
        <v>2888</v>
      </c>
      <c r="AI248" t="str">
        <f t="shared" si="18"/>
        <v>CSD,version,5.43,with,Mar,,Jun,,Sep,and,Nov,2022,updates</v>
      </c>
      <c r="AJ248" t="str">
        <f t="shared" si="19"/>
        <v>C3,H8,N2,O1</v>
      </c>
      <c r="AL248">
        <v>1</v>
      </c>
      <c r="AM248">
        <v>2</v>
      </c>
      <c r="AN248" t="str">
        <f>IF(AM248&lt;&gt;"",CONCATENATE(AC248," &amp; \ce{",SUBSTITUTE(AJ248,","," "),"} &amp; ",SUBSTITUTE(AF248,"."," ")," &amp; ",AL248," &amp; ",AM248," \\"),"")</f>
        <v>NIJHUJ &amp; \ce{C3 H8 N2 O1} &amp; Dimethylurea &amp; 1 &amp; 2 \\</v>
      </c>
    </row>
    <row r="249" spans="1:40" x14ac:dyDescent="0.2">
      <c r="A249" t="s">
        <v>1528</v>
      </c>
      <c r="B249" t="s">
        <v>1529</v>
      </c>
      <c r="C249">
        <v>20</v>
      </c>
      <c r="D249" t="s">
        <v>1530</v>
      </c>
      <c r="E249" t="s">
        <v>1531</v>
      </c>
      <c r="G249" t="s">
        <v>1532</v>
      </c>
      <c r="H249" t="s">
        <v>830</v>
      </c>
      <c r="I249" t="s">
        <v>1477</v>
      </c>
      <c r="J249" t="s">
        <v>1533</v>
      </c>
      <c r="K249" t="s">
        <v>1534</v>
      </c>
      <c r="L249" t="s">
        <v>1535</v>
      </c>
      <c r="M249" t="s">
        <v>1536</v>
      </c>
      <c r="N249" t="s">
        <v>1537</v>
      </c>
      <c r="O249" t="s">
        <v>830</v>
      </c>
      <c r="P249" t="s">
        <v>1536</v>
      </c>
      <c r="Q249" t="s">
        <v>830</v>
      </c>
      <c r="T249" t="s">
        <v>830</v>
      </c>
      <c r="U249" t="s">
        <v>830</v>
      </c>
      <c r="W249" t="s">
        <v>1958</v>
      </c>
      <c r="X249" t="s">
        <v>1986</v>
      </c>
      <c r="Y249" t="s">
        <v>830</v>
      </c>
      <c r="Z249">
        <v>2</v>
      </c>
      <c r="AA249">
        <v>488</v>
      </c>
      <c r="AB249">
        <v>11.247999999999999</v>
      </c>
      <c r="AC249" t="str">
        <f t="shared" ref="AC249:AC312" si="22">IF(AND(A249&lt;&gt;A248,T249="Yes"),A249,"")</f>
        <v/>
      </c>
      <c r="AE249" t="str">
        <f t="shared" si="17"/>
        <v/>
      </c>
      <c r="AI249" t="str">
        <f t="shared" si="18"/>
        <v/>
      </c>
      <c r="AJ249" t="str">
        <f t="shared" si="19"/>
        <v/>
      </c>
      <c r="AN249" t="str">
        <f>IF(AM249&lt;&gt;"",CONCATENATE(AC249," &amp; ",SUBSTITUTE(AJ249,","," ")," &amp; ",SUBSTITUTE(AF249,"."," ")," &amp; ",AL249," &amp; ",AM249," \\"),"")</f>
        <v/>
      </c>
    </row>
    <row r="250" spans="1:40" x14ac:dyDescent="0.2">
      <c r="A250" t="s">
        <v>420</v>
      </c>
      <c r="B250" t="s">
        <v>421</v>
      </c>
      <c r="C250">
        <v>0</v>
      </c>
      <c r="D250" t="s">
        <v>422</v>
      </c>
      <c r="E250" t="s">
        <v>423</v>
      </c>
      <c r="F250" t="s">
        <v>8</v>
      </c>
      <c r="G250" t="s">
        <v>424</v>
      </c>
      <c r="H250" t="s">
        <v>830</v>
      </c>
      <c r="I250" t="s">
        <v>1952</v>
      </c>
      <c r="J250" t="s">
        <v>1114</v>
      </c>
      <c r="K250" t="s">
        <v>885</v>
      </c>
      <c r="L250" t="s">
        <v>1553</v>
      </c>
      <c r="M250" t="s">
        <v>2060</v>
      </c>
      <c r="N250" t="s">
        <v>886</v>
      </c>
      <c r="O250" t="s">
        <v>830</v>
      </c>
      <c r="P250" t="s">
        <v>2055</v>
      </c>
      <c r="Q250" t="s">
        <v>830</v>
      </c>
      <c r="T250" t="s">
        <v>830</v>
      </c>
      <c r="U250" t="s">
        <v>830</v>
      </c>
      <c r="W250" t="s">
        <v>2034</v>
      </c>
      <c r="X250" t="s">
        <v>2067</v>
      </c>
      <c r="Y250" t="s">
        <v>830</v>
      </c>
      <c r="Z250">
        <v>3</v>
      </c>
      <c r="AA250">
        <v>280</v>
      </c>
      <c r="AB250">
        <v>15</v>
      </c>
      <c r="AC250" t="str">
        <f t="shared" si="22"/>
        <v>NIMFOE</v>
      </c>
      <c r="AD250" t="s">
        <v>3180</v>
      </c>
      <c r="AE250" t="str">
        <f t="shared" si="17"/>
        <v>5nitrouracil</v>
      </c>
      <c r="AF250" t="s">
        <v>3181</v>
      </c>
      <c r="AG250" s="15" t="s">
        <v>2894</v>
      </c>
      <c r="AH250" t="s">
        <v>2897</v>
      </c>
      <c r="AI250" t="str">
        <f t="shared" si="18"/>
        <v>CSD,version,6.01</v>
      </c>
      <c r="AJ250" t="str">
        <f t="shared" si="19"/>
        <v>C4,H3,N3,O4</v>
      </c>
      <c r="AL250">
        <v>2</v>
      </c>
      <c r="AM250">
        <v>2</v>
      </c>
      <c r="AN250" t="str">
        <f>IF(AM250&lt;&gt;"",CONCATENATE(AC250," &amp; \ce{",SUBSTITUTE(AJ250,","," "),"} &amp; ",SUBSTITUTE(AF250,"."," ")," &amp; ",AL250," &amp; ",AM250," \\"),"")</f>
        <v>NIMFOE &amp; \ce{C4 H3 N3 O4} &amp; 5-Nitrouracil &amp; 2 &amp; 2 \\</v>
      </c>
    </row>
    <row r="251" spans="1:40" x14ac:dyDescent="0.2">
      <c r="A251" t="s">
        <v>420</v>
      </c>
      <c r="B251" t="s">
        <v>421</v>
      </c>
      <c r="C251">
        <v>1</v>
      </c>
      <c r="D251" t="s">
        <v>422</v>
      </c>
      <c r="E251" t="s">
        <v>423</v>
      </c>
      <c r="F251" t="s">
        <v>8</v>
      </c>
      <c r="G251" t="s">
        <v>424</v>
      </c>
      <c r="H251" t="s">
        <v>830</v>
      </c>
      <c r="I251" t="s">
        <v>1952</v>
      </c>
      <c r="J251" t="s">
        <v>1115</v>
      </c>
      <c r="K251" t="s">
        <v>885</v>
      </c>
      <c r="L251" t="s">
        <v>1553</v>
      </c>
      <c r="M251" t="s">
        <v>2060</v>
      </c>
      <c r="N251" t="s">
        <v>886</v>
      </c>
      <c r="O251" t="s">
        <v>830</v>
      </c>
      <c r="P251" t="s">
        <v>2055</v>
      </c>
      <c r="Q251" t="s">
        <v>830</v>
      </c>
      <c r="T251" t="s">
        <v>830</v>
      </c>
      <c r="U251" t="s">
        <v>830</v>
      </c>
      <c r="W251" t="s">
        <v>2034</v>
      </c>
      <c r="X251" t="s">
        <v>2068</v>
      </c>
      <c r="Y251" t="s">
        <v>830</v>
      </c>
      <c r="Z251">
        <v>3</v>
      </c>
      <c r="AA251">
        <v>184</v>
      </c>
      <c r="AB251">
        <v>15</v>
      </c>
      <c r="AC251" t="str">
        <f t="shared" si="22"/>
        <v/>
      </c>
      <c r="AE251" t="str">
        <f t="shared" si="17"/>
        <v/>
      </c>
      <c r="AI251" t="str">
        <f t="shared" si="18"/>
        <v/>
      </c>
      <c r="AJ251" t="str">
        <f t="shared" si="19"/>
        <v/>
      </c>
      <c r="AN251" t="str">
        <f>IF(AM251&lt;&gt;"",CONCATENATE(AC251," &amp; ",SUBSTITUTE(AJ251,","," ")," &amp; ",SUBSTITUTE(AF251,"."," ")," &amp; ",AL251," &amp; ",AM251," \\"),"")</f>
        <v/>
      </c>
    </row>
    <row r="252" spans="1:40" x14ac:dyDescent="0.2">
      <c r="A252" t="s">
        <v>425</v>
      </c>
      <c r="B252" t="s">
        <v>344</v>
      </c>
      <c r="C252">
        <v>10</v>
      </c>
      <c r="D252" t="s">
        <v>426</v>
      </c>
      <c r="E252" t="s">
        <v>2321</v>
      </c>
      <c r="F252" t="s">
        <v>8</v>
      </c>
      <c r="G252" t="s">
        <v>2706</v>
      </c>
      <c r="H252" t="s">
        <v>830</v>
      </c>
      <c r="I252" t="s">
        <v>2385</v>
      </c>
      <c r="J252" t="s">
        <v>1157</v>
      </c>
      <c r="K252" t="s">
        <v>852</v>
      </c>
      <c r="L252" t="s">
        <v>2708</v>
      </c>
      <c r="M252" t="s">
        <v>876</v>
      </c>
      <c r="N252" t="s">
        <v>1876</v>
      </c>
      <c r="O252" t="s">
        <v>830</v>
      </c>
      <c r="P252" t="s">
        <v>896</v>
      </c>
      <c r="Q252" t="s">
        <v>830</v>
      </c>
      <c r="T252" t="s">
        <v>830</v>
      </c>
      <c r="U252" t="s">
        <v>830</v>
      </c>
      <c r="W252" t="s">
        <v>2692</v>
      </c>
      <c r="X252" t="s">
        <v>2709</v>
      </c>
      <c r="Y252" t="s">
        <v>830</v>
      </c>
      <c r="Z252">
        <v>1</v>
      </c>
      <c r="AA252">
        <v>28</v>
      </c>
      <c r="AB252">
        <v>11.586</v>
      </c>
      <c r="AC252" t="str">
        <f t="shared" si="22"/>
        <v>NIWFEE</v>
      </c>
      <c r="AD252" t="s">
        <v>426</v>
      </c>
      <c r="AE252" t="str">
        <f t="shared" si="17"/>
        <v>Caffeine</v>
      </c>
      <c r="AF252" t="str">
        <f>AE252</f>
        <v>Caffeine</v>
      </c>
      <c r="AG252" s="15" t="s">
        <v>3132</v>
      </c>
      <c r="AH252" t="s">
        <v>3272</v>
      </c>
      <c r="AI252" t="str">
        <f t="shared" si="18"/>
        <v>CSD,version,6.01,with,Feb,2026,update</v>
      </c>
      <c r="AJ252" t="str">
        <f t="shared" si="19"/>
        <v>C8,H10,N4,O2</v>
      </c>
      <c r="AL252">
        <v>3</v>
      </c>
      <c r="AM252">
        <v>4</v>
      </c>
      <c r="AN252" t="str">
        <f>IF(AM252&lt;&gt;"",CONCATENATE(AC252," &amp; \ce{",SUBSTITUTE(AJ252,","," "),"} &amp; ",SUBSTITUTE(AF252,"."," ")," &amp; ",AL252," &amp; ",AM252," \\"),"")</f>
        <v>NIWFEE &amp; \ce{C8 H10 N4 O2} &amp; Caffeine &amp; 3 &amp; 4 \\</v>
      </c>
    </row>
    <row r="253" spans="1:40" x14ac:dyDescent="0.2">
      <c r="A253" t="s">
        <v>425</v>
      </c>
      <c r="B253" t="s">
        <v>344</v>
      </c>
      <c r="C253">
        <v>11</v>
      </c>
      <c r="D253" t="s">
        <v>426</v>
      </c>
      <c r="E253" t="s">
        <v>427</v>
      </c>
      <c r="F253" t="s">
        <v>8</v>
      </c>
      <c r="G253" t="s">
        <v>2706</v>
      </c>
      <c r="H253" t="s">
        <v>830</v>
      </c>
      <c r="I253" t="s">
        <v>2385</v>
      </c>
      <c r="J253" t="s">
        <v>1321</v>
      </c>
      <c r="K253" t="s">
        <v>851</v>
      </c>
      <c r="L253" t="s">
        <v>2421</v>
      </c>
      <c r="M253" t="s">
        <v>2591</v>
      </c>
      <c r="N253">
        <v>2011</v>
      </c>
      <c r="O253" t="s">
        <v>830</v>
      </c>
      <c r="P253" t="s">
        <v>2697</v>
      </c>
      <c r="Q253" t="s">
        <v>830</v>
      </c>
      <c r="T253" t="s">
        <v>830</v>
      </c>
      <c r="U253" t="s">
        <v>830</v>
      </c>
      <c r="W253" t="s">
        <v>2692</v>
      </c>
      <c r="X253" t="s">
        <v>2693</v>
      </c>
      <c r="Y253" t="s">
        <v>830</v>
      </c>
      <c r="Z253">
        <v>1</v>
      </c>
      <c r="AA253">
        <v>84</v>
      </c>
      <c r="AB253">
        <v>13.978999999999999</v>
      </c>
      <c r="AC253" t="str">
        <f t="shared" si="22"/>
        <v/>
      </c>
      <c r="AE253" t="str">
        <f t="shared" si="17"/>
        <v/>
      </c>
      <c r="AI253" t="str">
        <f t="shared" si="18"/>
        <v/>
      </c>
      <c r="AJ253" t="str">
        <f t="shared" si="19"/>
        <v/>
      </c>
      <c r="AN253" t="str">
        <f>IF(AM253&lt;&gt;"",CONCATENATE(AC253," &amp; ",SUBSTITUTE(AJ253,","," ")," &amp; ",SUBSTITUTE(AF253,"."," ")," &amp; ",AL253," &amp; ",AM253," \\"),"")</f>
        <v/>
      </c>
    </row>
    <row r="254" spans="1:40" x14ac:dyDescent="0.2">
      <c r="A254" t="s">
        <v>425</v>
      </c>
      <c r="B254" t="s">
        <v>344</v>
      </c>
      <c r="C254">
        <v>20</v>
      </c>
      <c r="D254" t="s">
        <v>426</v>
      </c>
      <c r="E254" t="s">
        <v>2321</v>
      </c>
      <c r="F254" t="s">
        <v>8</v>
      </c>
      <c r="G254" t="s">
        <v>2706</v>
      </c>
      <c r="H254" t="s">
        <v>830</v>
      </c>
      <c r="I254" t="s">
        <v>2385</v>
      </c>
      <c r="J254" t="s">
        <v>1154</v>
      </c>
      <c r="K254" t="s">
        <v>852</v>
      </c>
      <c r="L254" t="s">
        <v>2703</v>
      </c>
      <c r="M254" t="s">
        <v>876</v>
      </c>
      <c r="N254" t="s">
        <v>1876</v>
      </c>
      <c r="O254" t="s">
        <v>830</v>
      </c>
      <c r="P254" t="s">
        <v>896</v>
      </c>
      <c r="Q254" t="s">
        <v>830</v>
      </c>
      <c r="T254" t="s">
        <v>830</v>
      </c>
      <c r="U254" t="s">
        <v>830</v>
      </c>
      <c r="W254" t="s">
        <v>2692</v>
      </c>
      <c r="X254" t="s">
        <v>2694</v>
      </c>
      <c r="Y254" t="s">
        <v>830</v>
      </c>
      <c r="Z254">
        <v>1</v>
      </c>
      <c r="AA254">
        <v>1094</v>
      </c>
      <c r="AB254">
        <v>20</v>
      </c>
      <c r="AC254" t="str">
        <f t="shared" si="22"/>
        <v/>
      </c>
      <c r="AE254" t="str">
        <f t="shared" si="17"/>
        <v/>
      </c>
      <c r="AI254" t="str">
        <f t="shared" si="18"/>
        <v/>
      </c>
      <c r="AJ254" t="str">
        <f t="shared" si="19"/>
        <v/>
      </c>
      <c r="AN254" t="str">
        <f>IF(AM254&lt;&gt;"",CONCATENATE(AC254," &amp; ",SUBSTITUTE(AJ254,","," ")," &amp; ",SUBSTITUTE(AF254,"."," ")," &amp; ",AL254," &amp; ",AM254," \\"),"")</f>
        <v/>
      </c>
    </row>
    <row r="255" spans="1:40" x14ac:dyDescent="0.2">
      <c r="A255" t="s">
        <v>425</v>
      </c>
      <c r="B255" t="s">
        <v>344</v>
      </c>
      <c r="C255">
        <v>60</v>
      </c>
      <c r="D255" t="s">
        <v>426</v>
      </c>
      <c r="E255" t="s">
        <v>427</v>
      </c>
      <c r="F255" t="s">
        <v>8</v>
      </c>
      <c r="G255" t="s">
        <v>2706</v>
      </c>
      <c r="H255" t="s">
        <v>830</v>
      </c>
      <c r="I255" t="s">
        <v>2385</v>
      </c>
      <c r="J255" t="s">
        <v>1320</v>
      </c>
      <c r="K255" t="s">
        <v>839</v>
      </c>
      <c r="L255" t="s">
        <v>2704</v>
      </c>
      <c r="M255" t="s">
        <v>2705</v>
      </c>
      <c r="N255" s="5" t="s">
        <v>2707</v>
      </c>
      <c r="O255" t="s">
        <v>830</v>
      </c>
      <c r="P255" t="s">
        <v>896</v>
      </c>
      <c r="Q255" t="s">
        <v>830</v>
      </c>
      <c r="T255" t="s">
        <v>830</v>
      </c>
      <c r="U255" t="s">
        <v>830</v>
      </c>
      <c r="W255" t="s">
        <v>2692</v>
      </c>
      <c r="X255" t="s">
        <v>2695</v>
      </c>
      <c r="Y255" t="s">
        <v>830</v>
      </c>
      <c r="Z255">
        <v>1</v>
      </c>
      <c r="AA255">
        <v>650</v>
      </c>
      <c r="AB255">
        <v>30</v>
      </c>
      <c r="AC255" t="str">
        <f t="shared" si="22"/>
        <v/>
      </c>
      <c r="AE255" t="str">
        <f t="shared" si="17"/>
        <v/>
      </c>
      <c r="AI255" t="str">
        <f t="shared" si="18"/>
        <v/>
      </c>
      <c r="AJ255" t="str">
        <f t="shared" si="19"/>
        <v/>
      </c>
      <c r="AN255" t="str">
        <f>IF(AM255&lt;&gt;"",CONCATENATE(AC255," &amp; ",SUBSTITUTE(AJ255,","," ")," &amp; ",SUBSTITUTE(AF255,"."," ")," &amp; ",AL255," &amp; ",AM255," \\"),"")</f>
        <v/>
      </c>
    </row>
    <row r="256" spans="1:40" x14ac:dyDescent="0.2">
      <c r="A256" t="s">
        <v>428</v>
      </c>
      <c r="B256" t="s">
        <v>429</v>
      </c>
      <c r="C256">
        <v>0</v>
      </c>
      <c r="D256" t="s">
        <v>430</v>
      </c>
      <c r="E256" t="s">
        <v>431</v>
      </c>
      <c r="F256" t="s">
        <v>8</v>
      </c>
      <c r="G256" t="s">
        <v>2214</v>
      </c>
      <c r="H256" t="s">
        <v>830</v>
      </c>
      <c r="I256" t="s">
        <v>1952</v>
      </c>
      <c r="J256" t="s">
        <v>1120</v>
      </c>
      <c r="K256" t="s">
        <v>853</v>
      </c>
      <c r="L256" t="s">
        <v>959</v>
      </c>
      <c r="M256" t="s">
        <v>2596</v>
      </c>
      <c r="N256">
        <v>2008</v>
      </c>
      <c r="O256" t="s">
        <v>830</v>
      </c>
      <c r="P256" t="s">
        <v>2212</v>
      </c>
      <c r="Q256" t="s">
        <v>830</v>
      </c>
      <c r="R256" t="s">
        <v>830</v>
      </c>
      <c r="S256" t="s">
        <v>953</v>
      </c>
      <c r="T256" t="s">
        <v>830</v>
      </c>
      <c r="U256" t="s">
        <v>830</v>
      </c>
      <c r="W256" t="s">
        <v>2250</v>
      </c>
      <c r="X256" t="s">
        <v>2210</v>
      </c>
      <c r="Y256" t="s">
        <v>830</v>
      </c>
      <c r="Z256">
        <v>3</v>
      </c>
      <c r="AA256">
        <v>324</v>
      </c>
      <c r="AB256">
        <v>20</v>
      </c>
      <c r="AC256" t="str">
        <f t="shared" si="22"/>
        <v>NIZVAU</v>
      </c>
      <c r="AD256" t="s">
        <v>3103</v>
      </c>
      <c r="AE256" t="str">
        <f t="shared" si="17"/>
        <v>7fluoroisatin</v>
      </c>
      <c r="AF256" t="s">
        <v>3116</v>
      </c>
      <c r="AG256" s="15" t="s">
        <v>2925</v>
      </c>
      <c r="AH256" t="s">
        <v>3061</v>
      </c>
      <c r="AI256" t="str">
        <f t="shared" si="18"/>
        <v>CSD,version,6.01</v>
      </c>
      <c r="AJ256" t="str">
        <f t="shared" si="19"/>
        <v>C8,H4,N1,O2,F1</v>
      </c>
      <c r="AL256">
        <v>1</v>
      </c>
      <c r="AM256">
        <v>1</v>
      </c>
      <c r="AN256" t="str">
        <f>IF(AM256&lt;&gt;"",CONCATENATE(AC256," &amp; \ce{",SUBSTITUTE(AJ256,","," "),"} &amp; ",SUBSTITUTE(AF256,"."," ")," &amp; ",AL256," &amp; ",AM256," \\"),"")</f>
        <v>NIZVAU &amp; \ce{C8 H4 N1 O2 F1} &amp; 7-fluoroisatin &amp; 1 &amp; 1 \\</v>
      </c>
    </row>
    <row r="257" spans="1:40" x14ac:dyDescent="0.2">
      <c r="A257" s="8" t="s">
        <v>432</v>
      </c>
      <c r="B257" s="8" t="s">
        <v>433</v>
      </c>
      <c r="C257" s="8">
        <v>0</v>
      </c>
      <c r="D257" s="8" t="s">
        <v>434</v>
      </c>
      <c r="E257" s="8" t="s">
        <v>434</v>
      </c>
      <c r="F257" s="8" t="s">
        <v>8</v>
      </c>
      <c r="G257" s="8" t="s">
        <v>435</v>
      </c>
      <c r="H257" s="8" t="s">
        <v>2866</v>
      </c>
      <c r="I257" s="8"/>
      <c r="J257" s="8"/>
      <c r="K257" s="8"/>
      <c r="L257" s="8"/>
      <c r="M257" s="8" t="s">
        <v>876</v>
      </c>
      <c r="N257" s="8"/>
      <c r="O257" s="8"/>
      <c r="P257" s="8"/>
      <c r="Q257" s="8"/>
      <c r="R257" s="8"/>
      <c r="S257" s="8"/>
      <c r="T257" s="8" t="s">
        <v>1598</v>
      </c>
      <c r="U257" s="8"/>
      <c r="V257" s="8"/>
      <c r="W257" s="8"/>
      <c r="X257" s="8"/>
      <c r="Y257" s="8"/>
      <c r="Z257" s="8"/>
      <c r="AA257" s="8">
        <v>380</v>
      </c>
      <c r="AB257" s="8">
        <v>30</v>
      </c>
      <c r="AC257" t="str">
        <f t="shared" si="22"/>
        <v/>
      </c>
      <c r="AE257" t="str">
        <f t="shared" si="17"/>
        <v/>
      </c>
      <c r="AI257" t="str">
        <f t="shared" si="18"/>
        <v/>
      </c>
      <c r="AJ257" t="str">
        <f t="shared" si="19"/>
        <v/>
      </c>
      <c r="AN257" t="str">
        <f>IF(AM257&lt;&gt;"",CONCATENATE(AC257," &amp; ",SUBSTITUTE(AJ257,","," ")," &amp; ",SUBSTITUTE(AF257,"."," ")," &amp; ",AL257," &amp; ",AM257," \\"),"")</f>
        <v/>
      </c>
    </row>
    <row r="258" spans="1:40" x14ac:dyDescent="0.2">
      <c r="A258" s="8" t="s">
        <v>436</v>
      </c>
      <c r="B258" s="8" t="s">
        <v>3029</v>
      </c>
      <c r="C258" s="8">
        <v>0</v>
      </c>
      <c r="D258" s="8" t="s">
        <v>437</v>
      </c>
      <c r="E258" s="8" t="s">
        <v>437</v>
      </c>
      <c r="F258" s="8" t="s">
        <v>8</v>
      </c>
      <c r="G258" s="8" t="s">
        <v>2779</v>
      </c>
      <c r="H258" s="8" t="s">
        <v>2866</v>
      </c>
      <c r="I258" s="8"/>
      <c r="J258" s="8" t="s">
        <v>2352</v>
      </c>
      <c r="K258" s="8" t="s">
        <v>1668</v>
      </c>
      <c r="L258" s="8" t="s">
        <v>1553</v>
      </c>
      <c r="M258" s="8" t="s">
        <v>2780</v>
      </c>
      <c r="N258" s="8"/>
      <c r="O258" s="8"/>
      <c r="P258" s="8"/>
      <c r="Q258" s="8"/>
      <c r="R258" s="8"/>
      <c r="S258" s="8"/>
      <c r="T258" s="8" t="s">
        <v>1598</v>
      </c>
      <c r="U258" s="8"/>
      <c r="V258" s="8"/>
      <c r="W258" s="8"/>
      <c r="X258" s="8"/>
      <c r="Y258" s="8"/>
      <c r="Z258" s="8"/>
      <c r="AA258" s="8">
        <v>40</v>
      </c>
      <c r="AB258" s="8">
        <v>18.71</v>
      </c>
      <c r="AC258" t="str">
        <f t="shared" si="22"/>
        <v/>
      </c>
      <c r="AE258" t="str">
        <f t="shared" ref="AE258:AE321" si="23">IF(AC258="","",MID(X258,1,(FIND("_",X258))-1))</f>
        <v/>
      </c>
      <c r="AI258" t="str">
        <f t="shared" ref="AI258:AI321" si="24">IF(AC258="","",SUBSTITUTE(IF(MID(I258,1,5)="Yes, ",MID(I258,6,100),I258)," ",","))</f>
        <v/>
      </c>
      <c r="AJ258" t="str">
        <f t="shared" ref="AJ258:AJ321" si="25">IF(AC258="","",SUBSTITUTE(B258," ",","))</f>
        <v/>
      </c>
      <c r="AN258" t="str">
        <f>IF(AM258&lt;&gt;"",CONCATENATE(AC258," &amp; ",SUBSTITUTE(AJ258,","," ")," &amp; ",SUBSTITUTE(AF258,"."," ")," &amp; ",AL258," &amp; ",AM258," \\"),"")</f>
        <v/>
      </c>
    </row>
    <row r="259" spans="1:40" x14ac:dyDescent="0.2">
      <c r="A259" t="s">
        <v>438</v>
      </c>
      <c r="B259" t="s">
        <v>439</v>
      </c>
      <c r="C259">
        <v>0</v>
      </c>
      <c r="D259" t="s">
        <v>440</v>
      </c>
      <c r="E259" t="s">
        <v>441</v>
      </c>
      <c r="F259" t="s">
        <v>440</v>
      </c>
      <c r="G259" t="s">
        <v>438</v>
      </c>
      <c r="H259" t="s">
        <v>830</v>
      </c>
      <c r="I259" t="s">
        <v>1952</v>
      </c>
      <c r="J259" t="s">
        <v>2262</v>
      </c>
      <c r="K259" t="s">
        <v>839</v>
      </c>
      <c r="L259" t="s">
        <v>1855</v>
      </c>
      <c r="M259" t="s">
        <v>891</v>
      </c>
      <c r="N259">
        <v>2010</v>
      </c>
      <c r="O259" t="s">
        <v>830</v>
      </c>
      <c r="P259" t="s">
        <v>891</v>
      </c>
      <c r="Q259" t="s">
        <v>830</v>
      </c>
      <c r="T259" t="s">
        <v>830</v>
      </c>
      <c r="U259" t="s">
        <v>830</v>
      </c>
      <c r="W259" t="s">
        <v>2269</v>
      </c>
      <c r="X259" t="s">
        <v>2276</v>
      </c>
      <c r="Y259" t="s">
        <v>830</v>
      </c>
      <c r="Z259">
        <v>0</v>
      </c>
      <c r="AA259">
        <v>421</v>
      </c>
      <c r="AB259">
        <v>15</v>
      </c>
      <c r="AC259" t="str">
        <f t="shared" si="22"/>
        <v>OBEQET</v>
      </c>
      <c r="AD259" t="s">
        <v>2930</v>
      </c>
      <c r="AE259" t="str">
        <f t="shared" si="23"/>
        <v>BTXVIII</v>
      </c>
      <c r="AF259" t="s">
        <v>2972</v>
      </c>
      <c r="AG259" s="15" t="s">
        <v>2919</v>
      </c>
      <c r="AH259" t="s">
        <v>2873</v>
      </c>
      <c r="AI259" t="str">
        <f t="shared" si="24"/>
        <v>CSD,version,6.01</v>
      </c>
      <c r="AJ259" t="str">
        <f t="shared" si="25"/>
        <v>C9,H7,N2,O3,Cl1,S1</v>
      </c>
      <c r="AK259" s="4" t="s">
        <v>3059</v>
      </c>
      <c r="AL259">
        <v>2</v>
      </c>
      <c r="AM259">
        <v>5</v>
      </c>
      <c r="AN259" t="str">
        <f>IF(AM259&lt;&gt;"",CONCATENATE(AC259," &amp; \ce{",SUBSTITUTE(AJ259,","," "),"} &amp; ",SUBSTITUTE(AF259,"."," ")," &amp; ",AL259," &amp; ",AM259," \\"),"")</f>
        <v>OBEQET &amp; \ce{C9 H7 N2 O3 Cl1 S1} &amp; Blind Test XVIII (OBEQET) &amp; 2 &amp; 5 \\</v>
      </c>
    </row>
    <row r="260" spans="1:40" x14ac:dyDescent="0.2">
      <c r="A260" t="s">
        <v>438</v>
      </c>
      <c r="B260" t="s">
        <v>439</v>
      </c>
      <c r="C260">
        <v>1</v>
      </c>
      <c r="D260" t="s">
        <v>440</v>
      </c>
      <c r="E260" t="s">
        <v>441</v>
      </c>
      <c r="F260" t="s">
        <v>440</v>
      </c>
      <c r="G260" t="s">
        <v>438</v>
      </c>
      <c r="H260" t="s">
        <v>830</v>
      </c>
      <c r="I260" t="s">
        <v>1952</v>
      </c>
      <c r="J260" t="s">
        <v>2263</v>
      </c>
      <c r="K260" t="s">
        <v>839</v>
      </c>
      <c r="L260" t="s">
        <v>2272</v>
      </c>
      <c r="M260" t="s">
        <v>891</v>
      </c>
      <c r="N260">
        <v>2010</v>
      </c>
      <c r="O260" t="s">
        <v>830</v>
      </c>
      <c r="P260" t="s">
        <v>891</v>
      </c>
      <c r="Q260" t="s">
        <v>830</v>
      </c>
      <c r="T260" t="s">
        <v>830</v>
      </c>
      <c r="U260" t="s">
        <v>830</v>
      </c>
      <c r="W260" t="s">
        <v>2269</v>
      </c>
      <c r="X260" t="s">
        <v>2277</v>
      </c>
      <c r="Y260" t="s">
        <v>830</v>
      </c>
      <c r="Z260">
        <v>0</v>
      </c>
      <c r="AA260">
        <v>528</v>
      </c>
      <c r="AB260">
        <v>15</v>
      </c>
      <c r="AC260" t="str">
        <f t="shared" si="22"/>
        <v/>
      </c>
      <c r="AE260" t="str">
        <f t="shared" si="23"/>
        <v/>
      </c>
      <c r="AI260" t="str">
        <f t="shared" si="24"/>
        <v/>
      </c>
      <c r="AJ260" t="str">
        <f t="shared" si="25"/>
        <v/>
      </c>
      <c r="AN260" t="str">
        <f>IF(AM260&lt;&gt;"",CONCATENATE(AC260," &amp; ",SUBSTITUTE(AJ260,","," ")," &amp; ",SUBSTITUTE(AF260,"."," ")," &amp; ",AL260," &amp; ",AM260," \\"),"")</f>
        <v/>
      </c>
    </row>
    <row r="261" spans="1:40" x14ac:dyDescent="0.2">
      <c r="A261" t="s">
        <v>438</v>
      </c>
      <c r="B261" t="s">
        <v>439</v>
      </c>
      <c r="C261">
        <v>2</v>
      </c>
      <c r="D261" t="s">
        <v>440</v>
      </c>
      <c r="E261" t="s">
        <v>441</v>
      </c>
      <c r="F261" t="s">
        <v>440</v>
      </c>
      <c r="G261" t="s">
        <v>438</v>
      </c>
      <c r="H261" t="s">
        <v>830</v>
      </c>
      <c r="I261" t="s">
        <v>1952</v>
      </c>
      <c r="J261" t="s">
        <v>1277</v>
      </c>
      <c r="K261" t="s">
        <v>839</v>
      </c>
      <c r="L261" t="s">
        <v>2273</v>
      </c>
      <c r="M261" t="s">
        <v>891</v>
      </c>
      <c r="N261">
        <v>2010</v>
      </c>
      <c r="O261" t="s">
        <v>830</v>
      </c>
      <c r="P261" t="s">
        <v>891</v>
      </c>
      <c r="Q261" t="s">
        <v>830</v>
      </c>
      <c r="T261" t="s">
        <v>830</v>
      </c>
      <c r="U261" t="s">
        <v>830</v>
      </c>
      <c r="W261" t="s">
        <v>2269</v>
      </c>
      <c r="X261" t="s">
        <v>2278</v>
      </c>
      <c r="Y261" t="s">
        <v>830</v>
      </c>
      <c r="Z261">
        <v>0</v>
      </c>
      <c r="AA261">
        <v>475</v>
      </c>
      <c r="AB261">
        <v>14.48</v>
      </c>
      <c r="AC261" t="str">
        <f t="shared" si="22"/>
        <v/>
      </c>
      <c r="AE261" t="str">
        <f t="shared" si="23"/>
        <v/>
      </c>
      <c r="AI261" t="str">
        <f t="shared" si="24"/>
        <v/>
      </c>
      <c r="AJ261" t="str">
        <f t="shared" si="25"/>
        <v/>
      </c>
      <c r="AN261" t="str">
        <f>IF(AM261&lt;&gt;"",CONCATENATE(AC261," &amp; ",SUBSTITUTE(AJ261,","," ")," &amp; ",SUBSTITUTE(AF261,"."," ")," &amp; ",AL261," &amp; ",AM261," \\"),"")</f>
        <v/>
      </c>
    </row>
    <row r="262" spans="1:40" x14ac:dyDescent="0.2">
      <c r="A262" t="s">
        <v>438</v>
      </c>
      <c r="B262" t="s">
        <v>439</v>
      </c>
      <c r="C262">
        <v>10</v>
      </c>
      <c r="D262" t="s">
        <v>440</v>
      </c>
      <c r="E262" t="s">
        <v>441</v>
      </c>
      <c r="F262" t="s">
        <v>440</v>
      </c>
      <c r="G262" t="s">
        <v>438</v>
      </c>
      <c r="H262" t="s">
        <v>830</v>
      </c>
      <c r="I262" t="s">
        <v>1952</v>
      </c>
      <c r="J262" t="s">
        <v>1278</v>
      </c>
      <c r="K262" t="s">
        <v>839</v>
      </c>
      <c r="L262" t="s">
        <v>1667</v>
      </c>
      <c r="M262" t="s">
        <v>2258</v>
      </c>
      <c r="N262">
        <v>2010</v>
      </c>
      <c r="O262" t="s">
        <v>830</v>
      </c>
      <c r="P262" t="s">
        <v>2275</v>
      </c>
      <c r="Q262" t="s">
        <v>830</v>
      </c>
      <c r="T262" t="s">
        <v>830</v>
      </c>
      <c r="U262" t="s">
        <v>830</v>
      </c>
      <c r="W262" t="s">
        <v>2269</v>
      </c>
      <c r="X262" t="s">
        <v>2279</v>
      </c>
      <c r="Y262" t="s">
        <v>830</v>
      </c>
      <c r="Z262">
        <v>1</v>
      </c>
      <c r="AA262">
        <v>328</v>
      </c>
      <c r="AB262">
        <v>26.297000000000001</v>
      </c>
      <c r="AC262" t="str">
        <f t="shared" si="22"/>
        <v/>
      </c>
      <c r="AE262" t="str">
        <f t="shared" si="23"/>
        <v/>
      </c>
      <c r="AI262" t="str">
        <f t="shared" si="24"/>
        <v/>
      </c>
      <c r="AJ262" t="str">
        <f t="shared" si="25"/>
        <v/>
      </c>
      <c r="AN262" t="str">
        <f>IF(AM262&lt;&gt;"",CONCATENATE(AC262," &amp; ",SUBSTITUTE(AJ262,","," ")," &amp; ",SUBSTITUTE(AF262,"."," ")," &amp; ",AL262," &amp; ",AM262," \\"),"")</f>
        <v/>
      </c>
    </row>
    <row r="263" spans="1:40" x14ac:dyDescent="0.2">
      <c r="A263" t="s">
        <v>438</v>
      </c>
      <c r="B263" t="s">
        <v>439</v>
      </c>
      <c r="C263">
        <v>20</v>
      </c>
      <c r="D263" t="s">
        <v>440</v>
      </c>
      <c r="E263" t="s">
        <v>441</v>
      </c>
      <c r="F263" t="s">
        <v>440</v>
      </c>
      <c r="G263" t="s">
        <v>438</v>
      </c>
      <c r="H263" t="s">
        <v>830</v>
      </c>
      <c r="I263" t="s">
        <v>1952</v>
      </c>
      <c r="J263" t="s">
        <v>1279</v>
      </c>
      <c r="K263" t="s">
        <v>839</v>
      </c>
      <c r="L263" t="s">
        <v>2274</v>
      </c>
      <c r="M263" t="s">
        <v>891</v>
      </c>
      <c r="N263">
        <v>2010</v>
      </c>
      <c r="O263" t="s">
        <v>830</v>
      </c>
      <c r="P263" t="s">
        <v>891</v>
      </c>
      <c r="Q263" t="s">
        <v>830</v>
      </c>
      <c r="T263" t="s">
        <v>830</v>
      </c>
      <c r="U263" t="s">
        <v>830</v>
      </c>
      <c r="W263" t="s">
        <v>2269</v>
      </c>
      <c r="X263" t="s">
        <v>2280</v>
      </c>
      <c r="Y263" t="s">
        <v>830</v>
      </c>
      <c r="Z263">
        <v>0</v>
      </c>
      <c r="AA263">
        <v>7233</v>
      </c>
      <c r="AB263">
        <v>43.49</v>
      </c>
      <c r="AC263" t="str">
        <f t="shared" si="22"/>
        <v/>
      </c>
      <c r="AE263" t="str">
        <f t="shared" si="23"/>
        <v/>
      </c>
      <c r="AI263" t="str">
        <f t="shared" si="24"/>
        <v/>
      </c>
      <c r="AJ263" t="str">
        <f t="shared" si="25"/>
        <v/>
      </c>
      <c r="AN263" t="str">
        <f>IF(AM263&lt;&gt;"",CONCATENATE(AC263," &amp; ",SUBSTITUTE(AJ263,","," ")," &amp; ",SUBSTITUTE(AF263,"."," ")," &amp; ",AL263," &amp; ",AM263," \\"),"")</f>
        <v/>
      </c>
    </row>
    <row r="264" spans="1:40" x14ac:dyDescent="0.2">
      <c r="A264" t="s">
        <v>442</v>
      </c>
      <c r="B264" t="s">
        <v>443</v>
      </c>
      <c r="C264">
        <v>10</v>
      </c>
      <c r="D264" t="s">
        <v>444</v>
      </c>
      <c r="E264" t="s">
        <v>445</v>
      </c>
      <c r="F264" t="s">
        <v>2254</v>
      </c>
      <c r="G264" t="s">
        <v>442</v>
      </c>
      <c r="H264" t="s">
        <v>830</v>
      </c>
      <c r="I264" t="s">
        <v>1952</v>
      </c>
      <c r="J264" t="s">
        <v>1280</v>
      </c>
      <c r="K264" t="s">
        <v>895</v>
      </c>
      <c r="L264" t="s">
        <v>2282</v>
      </c>
      <c r="M264" t="s">
        <v>896</v>
      </c>
      <c r="N264">
        <v>2010</v>
      </c>
      <c r="O264" t="s">
        <v>830</v>
      </c>
      <c r="P264" t="s">
        <v>896</v>
      </c>
      <c r="Q264" t="s">
        <v>830</v>
      </c>
      <c r="T264" t="s">
        <v>830</v>
      </c>
      <c r="U264" t="s">
        <v>830</v>
      </c>
      <c r="W264" t="s">
        <v>2281</v>
      </c>
      <c r="X264" t="s">
        <v>2285</v>
      </c>
      <c r="Y264" t="s">
        <v>830</v>
      </c>
      <c r="Z264">
        <v>1</v>
      </c>
      <c r="AA264">
        <v>387</v>
      </c>
      <c r="AB264">
        <v>45.228000000000002</v>
      </c>
      <c r="AC264" t="str">
        <f t="shared" si="22"/>
        <v>OBEQIX</v>
      </c>
      <c r="AD264" t="s">
        <v>2931</v>
      </c>
      <c r="AE264" t="str">
        <f t="shared" si="23"/>
        <v>BTXX</v>
      </c>
      <c r="AF264" t="s">
        <v>2973</v>
      </c>
      <c r="AG264" s="15" t="s">
        <v>2919</v>
      </c>
      <c r="AH264" t="s">
        <v>2932</v>
      </c>
      <c r="AI264" t="str">
        <f t="shared" si="24"/>
        <v>CSD,version,6.01</v>
      </c>
      <c r="AJ264" t="str">
        <f t="shared" si="25"/>
        <v>C25,H22,N2,O4,S2</v>
      </c>
      <c r="AK264" s="4" t="s">
        <v>3059</v>
      </c>
      <c r="AL264">
        <v>2</v>
      </c>
      <c r="AM264">
        <v>3</v>
      </c>
      <c r="AN264" t="str">
        <f>IF(AM264&lt;&gt;"",CONCATENATE(AC264," &amp; \ce{",SUBSTITUTE(AJ264,","," "),"} &amp; ",SUBSTITUTE(AF264,"."," ")," &amp; ",AL264," &amp; ",AM264," \\"),"")</f>
        <v>OBEQIX &amp; \ce{C25 H22 N2 O4 S2} &amp; Blind Test XX (OBEQIX) &amp; 2 &amp; 3 \\</v>
      </c>
    </row>
    <row r="265" spans="1:40" x14ac:dyDescent="0.2">
      <c r="A265" t="s">
        <v>442</v>
      </c>
      <c r="B265" t="s">
        <v>443</v>
      </c>
      <c r="C265">
        <v>11</v>
      </c>
      <c r="D265" t="s">
        <v>444</v>
      </c>
      <c r="E265" t="s">
        <v>445</v>
      </c>
      <c r="F265" t="s">
        <v>2254</v>
      </c>
      <c r="G265" t="s">
        <v>442</v>
      </c>
      <c r="H265" t="s">
        <v>830</v>
      </c>
      <c r="I265" t="s">
        <v>1952</v>
      </c>
      <c r="J265" t="s">
        <v>1281</v>
      </c>
      <c r="K265" t="s">
        <v>895</v>
      </c>
      <c r="L265" t="s">
        <v>2283</v>
      </c>
      <c r="M265" t="s">
        <v>2259</v>
      </c>
      <c r="N265">
        <v>2010</v>
      </c>
      <c r="O265" t="s">
        <v>830</v>
      </c>
      <c r="P265" t="s">
        <v>2284</v>
      </c>
      <c r="Q265" t="s">
        <v>830</v>
      </c>
      <c r="T265" t="s">
        <v>830</v>
      </c>
      <c r="U265" t="s">
        <v>830</v>
      </c>
      <c r="W265" t="s">
        <v>2281</v>
      </c>
      <c r="X265" t="s">
        <v>2286</v>
      </c>
      <c r="Y265" t="s">
        <v>830</v>
      </c>
      <c r="Z265">
        <v>1</v>
      </c>
      <c r="AA265">
        <v>200</v>
      </c>
      <c r="AB265">
        <v>16.77</v>
      </c>
      <c r="AC265" t="str">
        <f t="shared" si="22"/>
        <v/>
      </c>
      <c r="AE265" t="str">
        <f t="shared" si="23"/>
        <v/>
      </c>
      <c r="AI265" t="str">
        <f t="shared" si="24"/>
        <v/>
      </c>
      <c r="AJ265" t="str">
        <f t="shared" si="25"/>
        <v/>
      </c>
      <c r="AN265" t="str">
        <f>IF(AM265&lt;&gt;"",CONCATENATE(AC265," &amp; ",SUBSTITUTE(AJ265,","," ")," &amp; ",SUBSTITUTE(AF265,"."," ")," &amp; ",AL265," &amp; ",AM265," \\"),"")</f>
        <v/>
      </c>
    </row>
    <row r="266" spans="1:40" x14ac:dyDescent="0.2">
      <c r="A266" t="s">
        <v>442</v>
      </c>
      <c r="B266" t="s">
        <v>443</v>
      </c>
      <c r="C266">
        <v>60</v>
      </c>
      <c r="D266" t="s">
        <v>444</v>
      </c>
      <c r="E266" t="s">
        <v>445</v>
      </c>
      <c r="F266" t="s">
        <v>2254</v>
      </c>
      <c r="G266" t="s">
        <v>442</v>
      </c>
      <c r="H266" t="s">
        <v>830</v>
      </c>
      <c r="I266" t="s">
        <v>1952</v>
      </c>
      <c r="J266" t="s">
        <v>1380</v>
      </c>
      <c r="K266" t="s">
        <v>842</v>
      </c>
      <c r="L266" t="s">
        <v>2006</v>
      </c>
      <c r="M266" t="s">
        <v>888</v>
      </c>
      <c r="N266">
        <v>2018</v>
      </c>
      <c r="O266" t="s">
        <v>830</v>
      </c>
      <c r="P266" t="s">
        <v>896</v>
      </c>
      <c r="Q266" t="s">
        <v>830</v>
      </c>
      <c r="T266" t="s">
        <v>830</v>
      </c>
      <c r="U266" t="s">
        <v>830</v>
      </c>
      <c r="W266" t="s">
        <v>2281</v>
      </c>
      <c r="X266" t="s">
        <v>2287</v>
      </c>
      <c r="Y266" t="s">
        <v>830</v>
      </c>
      <c r="Z266">
        <v>1</v>
      </c>
      <c r="AA266">
        <v>411</v>
      </c>
      <c r="AB266">
        <v>20</v>
      </c>
      <c r="AC266" t="str">
        <f t="shared" si="22"/>
        <v/>
      </c>
      <c r="AE266" t="str">
        <f t="shared" si="23"/>
        <v/>
      </c>
      <c r="AI266" t="str">
        <f t="shared" si="24"/>
        <v/>
      </c>
      <c r="AJ266" t="str">
        <f t="shared" si="25"/>
        <v/>
      </c>
      <c r="AN266" t="str">
        <f>IF(AM266&lt;&gt;"",CONCATENATE(AC266," &amp; ",SUBSTITUTE(AJ266,","," ")," &amp; ",SUBSTITUTE(AF266,"."," ")," &amp; ",AL266," &amp; ",AM266," \\"),"")</f>
        <v/>
      </c>
    </row>
    <row r="267" spans="1:40" x14ac:dyDescent="0.2">
      <c r="A267" t="s">
        <v>446</v>
      </c>
      <c r="B267" t="s">
        <v>447</v>
      </c>
      <c r="C267">
        <v>0</v>
      </c>
      <c r="D267" t="s">
        <v>8</v>
      </c>
      <c r="E267" t="s">
        <v>2243</v>
      </c>
      <c r="F267" t="s">
        <v>448</v>
      </c>
      <c r="G267" t="s">
        <v>446</v>
      </c>
      <c r="H267" t="s">
        <v>830</v>
      </c>
      <c r="I267" t="s">
        <v>1952</v>
      </c>
      <c r="J267" t="s">
        <v>1283</v>
      </c>
      <c r="K267" t="s">
        <v>851</v>
      </c>
      <c r="L267" t="s">
        <v>1855</v>
      </c>
      <c r="M267" t="s">
        <v>891</v>
      </c>
      <c r="N267">
        <v>2010</v>
      </c>
      <c r="O267" t="s">
        <v>830</v>
      </c>
      <c r="P267" t="s">
        <v>891</v>
      </c>
      <c r="Q267" t="s">
        <v>830</v>
      </c>
      <c r="T267" t="s">
        <v>830</v>
      </c>
      <c r="U267" t="s">
        <v>830</v>
      </c>
      <c r="W267" t="s">
        <v>2250</v>
      </c>
      <c r="X267" t="s">
        <v>2241</v>
      </c>
      <c r="Y267" t="s">
        <v>830</v>
      </c>
      <c r="Z267">
        <v>0</v>
      </c>
      <c r="AA267">
        <v>183</v>
      </c>
      <c r="AB267">
        <v>10</v>
      </c>
      <c r="AC267" t="str">
        <f t="shared" si="22"/>
        <v>OBEQOD</v>
      </c>
      <c r="AD267" t="s">
        <v>2929</v>
      </c>
      <c r="AE267" t="str">
        <f t="shared" si="23"/>
        <v>BTXVII</v>
      </c>
      <c r="AF267" t="s">
        <v>2974</v>
      </c>
      <c r="AG267" s="15" t="s">
        <v>2919</v>
      </c>
      <c r="AH267" t="s">
        <v>2922</v>
      </c>
      <c r="AI267" t="str">
        <f t="shared" si="24"/>
        <v>CSD,version,6.01</v>
      </c>
      <c r="AJ267" t="str">
        <f t="shared" si="25"/>
        <v>C6,H2,N2,O4,Cl2</v>
      </c>
      <c r="AK267" s="4" t="s">
        <v>3059</v>
      </c>
      <c r="AL267">
        <v>2</v>
      </c>
      <c r="AM267">
        <v>2</v>
      </c>
      <c r="AN267" t="str">
        <f>IF(AM267&lt;&gt;"",CONCATENATE(AC267," &amp; \ce{",SUBSTITUTE(AJ267,","," "),"} &amp; ",SUBSTITUTE(AF267,"."," ")," &amp; ",AL267," &amp; ",AM267," \\"),"")</f>
        <v>OBEQOD &amp; \ce{C6 H2 N2 O4 Cl2} &amp; Blind Test XVII (OBEQOD) &amp; 2 &amp; 2 \\</v>
      </c>
    </row>
    <row r="268" spans="1:40" x14ac:dyDescent="0.2">
      <c r="A268" t="s">
        <v>446</v>
      </c>
      <c r="B268" t="s">
        <v>447</v>
      </c>
      <c r="C268">
        <v>10</v>
      </c>
      <c r="D268" t="s">
        <v>8</v>
      </c>
      <c r="E268" t="s">
        <v>2243</v>
      </c>
      <c r="F268" t="s">
        <v>448</v>
      </c>
      <c r="G268" t="s">
        <v>446</v>
      </c>
      <c r="H268" t="s">
        <v>830</v>
      </c>
      <c r="I268" t="s">
        <v>1952</v>
      </c>
      <c r="J268" t="s">
        <v>1282</v>
      </c>
      <c r="K268" t="s">
        <v>851</v>
      </c>
      <c r="L268" t="s">
        <v>2240</v>
      </c>
      <c r="M268" t="s">
        <v>2258</v>
      </c>
      <c r="N268">
        <v>2010</v>
      </c>
      <c r="O268" t="s">
        <v>830</v>
      </c>
      <c r="P268" t="s">
        <v>2249</v>
      </c>
      <c r="Q268" t="s">
        <v>830</v>
      </c>
      <c r="T268" t="s">
        <v>830</v>
      </c>
      <c r="U268" t="s">
        <v>830</v>
      </c>
      <c r="W268" t="s">
        <v>2250</v>
      </c>
      <c r="X268" t="s">
        <v>2242</v>
      </c>
      <c r="Y268" t="s">
        <v>830</v>
      </c>
      <c r="Z268">
        <v>1</v>
      </c>
      <c r="AA268">
        <v>136</v>
      </c>
      <c r="AB268">
        <v>17.736000000000001</v>
      </c>
      <c r="AC268" t="str">
        <f t="shared" si="22"/>
        <v/>
      </c>
      <c r="AE268" t="str">
        <f t="shared" si="23"/>
        <v/>
      </c>
      <c r="AI268" t="str">
        <f t="shared" si="24"/>
        <v/>
      </c>
      <c r="AJ268" t="str">
        <f t="shared" si="25"/>
        <v/>
      </c>
      <c r="AN268" t="str">
        <f>IF(AM268&lt;&gt;"",CONCATENATE(AC268," &amp; ",SUBSTITUTE(AJ268,","," ")," &amp; ",SUBSTITUTE(AF268,"."," ")," &amp; ",AL268," &amp; ",AM268," \\"),"")</f>
        <v/>
      </c>
    </row>
    <row r="269" spans="1:40" x14ac:dyDescent="0.2">
      <c r="A269" t="s">
        <v>449</v>
      </c>
      <c r="B269" t="s">
        <v>450</v>
      </c>
      <c r="C269">
        <v>10</v>
      </c>
      <c r="D269" t="s">
        <v>451</v>
      </c>
      <c r="E269" t="s">
        <v>452</v>
      </c>
      <c r="F269" t="s">
        <v>453</v>
      </c>
      <c r="G269" t="s">
        <v>449</v>
      </c>
      <c r="H269" t="s">
        <v>830</v>
      </c>
      <c r="I269" t="s">
        <v>1952</v>
      </c>
      <c r="J269" t="s">
        <v>1287</v>
      </c>
      <c r="K269" t="s">
        <v>893</v>
      </c>
      <c r="L269" t="s">
        <v>1631</v>
      </c>
      <c r="M269" t="s">
        <v>894</v>
      </c>
      <c r="N269">
        <v>2010</v>
      </c>
      <c r="O269" t="s">
        <v>830</v>
      </c>
      <c r="P269" t="s">
        <v>894</v>
      </c>
      <c r="Q269" t="s">
        <v>830</v>
      </c>
      <c r="T269" t="s">
        <v>830</v>
      </c>
      <c r="U269" t="s">
        <v>830</v>
      </c>
      <c r="W269" t="s">
        <v>2281</v>
      </c>
      <c r="X269" t="s">
        <v>2306</v>
      </c>
      <c r="Y269" t="s">
        <v>830</v>
      </c>
      <c r="Z269">
        <v>1</v>
      </c>
      <c r="AA269">
        <v>98</v>
      </c>
      <c r="AB269">
        <v>7.2409999999999997</v>
      </c>
      <c r="AC269" t="str">
        <f t="shared" si="22"/>
        <v>OBEQUJ</v>
      </c>
      <c r="AD269" t="s">
        <v>2928</v>
      </c>
      <c r="AE269" t="str">
        <f t="shared" si="23"/>
        <v>BTXVI</v>
      </c>
      <c r="AF269" t="s">
        <v>2971</v>
      </c>
      <c r="AG269" s="15" t="s">
        <v>2919</v>
      </c>
      <c r="AH269" t="s">
        <v>2923</v>
      </c>
      <c r="AI269" t="str">
        <f t="shared" si="24"/>
        <v>CSD,version,6.01</v>
      </c>
      <c r="AJ269" t="str">
        <f t="shared" si="25"/>
        <v>C6,H4,N2,O1</v>
      </c>
      <c r="AK269" s="4" t="s">
        <v>3059</v>
      </c>
      <c r="AL269">
        <v>1</v>
      </c>
      <c r="AM269">
        <v>4</v>
      </c>
      <c r="AN269" t="str">
        <f>IF(AM269&lt;&gt;"",CONCATENATE(AC269," &amp; \ce{",SUBSTITUTE(AJ269,","," "),"} &amp; ",SUBSTITUTE(AF269,"."," ")," &amp; ",AL269," &amp; ",AM269," \\"),"")</f>
        <v>OBEQUJ &amp; \ce{C6 H4 N2 O1} &amp; Blind Test XVI (OBEQUJ) &amp; 1 &amp; 4 \\</v>
      </c>
    </row>
    <row r="270" spans="1:40" s="8" customFormat="1" x14ac:dyDescent="0.2">
      <c r="A270" t="s">
        <v>449</v>
      </c>
      <c r="B270" t="s">
        <v>450</v>
      </c>
      <c r="C270">
        <v>20</v>
      </c>
      <c r="D270" t="s">
        <v>451</v>
      </c>
      <c r="E270" t="s">
        <v>452</v>
      </c>
      <c r="F270" t="s">
        <v>453</v>
      </c>
      <c r="G270" t="s">
        <v>449</v>
      </c>
      <c r="H270" t="s">
        <v>830</v>
      </c>
      <c r="I270" t="s">
        <v>1952</v>
      </c>
      <c r="J270" t="s">
        <v>1284</v>
      </c>
      <c r="K270" t="s">
        <v>893</v>
      </c>
      <c r="L270" t="s">
        <v>2244</v>
      </c>
      <c r="M270" t="s">
        <v>894</v>
      </c>
      <c r="N270">
        <v>2010</v>
      </c>
      <c r="O270" t="s">
        <v>830</v>
      </c>
      <c r="P270" t="s">
        <v>894</v>
      </c>
      <c r="Q270" t="s">
        <v>830</v>
      </c>
      <c r="R270"/>
      <c r="S270"/>
      <c r="T270" t="s">
        <v>830</v>
      </c>
      <c r="U270" t="s">
        <v>830</v>
      </c>
      <c r="V270"/>
      <c r="W270" t="s">
        <v>2281</v>
      </c>
      <c r="X270" t="s">
        <v>2307</v>
      </c>
      <c r="Y270" t="s">
        <v>830</v>
      </c>
      <c r="Z270">
        <v>1</v>
      </c>
      <c r="AA270">
        <v>575</v>
      </c>
      <c r="AB270">
        <v>10</v>
      </c>
      <c r="AC270" t="str">
        <f t="shared" si="22"/>
        <v/>
      </c>
      <c r="AD270"/>
      <c r="AE270" t="str">
        <f t="shared" si="23"/>
        <v/>
      </c>
      <c r="AF270"/>
      <c r="AG270" s="15"/>
      <c r="AH270"/>
      <c r="AI270" t="str">
        <f t="shared" si="24"/>
        <v/>
      </c>
      <c r="AJ270" t="str">
        <f t="shared" si="25"/>
        <v/>
      </c>
      <c r="AK270"/>
      <c r="AL270"/>
      <c r="AM270"/>
      <c r="AN270" t="str">
        <f t="shared" ref="AN270:AN275" si="26">IF(AM270&lt;&gt;"",CONCATENATE(AC270," &amp; ",SUBSTITUTE(AJ270,","," ")," &amp; ",SUBSTITUTE(AF270,"."," ")," &amp; ",AL270," &amp; ",AM270," \\"),"")</f>
        <v/>
      </c>
    </row>
    <row r="271" spans="1:40" x14ac:dyDescent="0.2">
      <c r="A271" t="s">
        <v>449</v>
      </c>
      <c r="B271" t="s">
        <v>450</v>
      </c>
      <c r="C271">
        <v>21</v>
      </c>
      <c r="D271" t="s">
        <v>451</v>
      </c>
      <c r="E271" t="s">
        <v>452</v>
      </c>
      <c r="F271" t="s">
        <v>453</v>
      </c>
      <c r="G271" t="s">
        <v>449</v>
      </c>
      <c r="H271" t="s">
        <v>830</v>
      </c>
      <c r="I271" t="s">
        <v>1952</v>
      </c>
      <c r="J271" t="s">
        <v>1285</v>
      </c>
      <c r="K271" t="s">
        <v>893</v>
      </c>
      <c r="L271" t="s">
        <v>2289</v>
      </c>
      <c r="M271" t="s">
        <v>894</v>
      </c>
      <c r="N271">
        <v>2010</v>
      </c>
      <c r="O271" t="s">
        <v>830</v>
      </c>
      <c r="P271" t="s">
        <v>894</v>
      </c>
      <c r="Q271" t="s">
        <v>830</v>
      </c>
      <c r="T271" t="s">
        <v>830</v>
      </c>
      <c r="U271" t="s">
        <v>830</v>
      </c>
      <c r="W271" t="s">
        <v>2281</v>
      </c>
      <c r="X271" t="s">
        <v>2308</v>
      </c>
      <c r="Y271" t="s">
        <v>830</v>
      </c>
      <c r="Z271">
        <v>1</v>
      </c>
      <c r="AA271">
        <v>414</v>
      </c>
      <c r="AB271">
        <v>10</v>
      </c>
      <c r="AC271" t="str">
        <f t="shared" si="22"/>
        <v/>
      </c>
      <c r="AE271" t="str">
        <f t="shared" si="23"/>
        <v/>
      </c>
      <c r="AI271" t="str">
        <f t="shared" si="24"/>
        <v/>
      </c>
      <c r="AJ271" t="str">
        <f t="shared" si="25"/>
        <v/>
      </c>
      <c r="AN271" t="str">
        <f t="shared" si="26"/>
        <v/>
      </c>
    </row>
    <row r="272" spans="1:40" x14ac:dyDescent="0.2">
      <c r="A272" t="s">
        <v>449</v>
      </c>
      <c r="B272" t="s">
        <v>450</v>
      </c>
      <c r="C272">
        <v>50</v>
      </c>
      <c r="D272" t="s">
        <v>451</v>
      </c>
      <c r="E272" t="s">
        <v>452</v>
      </c>
      <c r="F272" t="s">
        <v>453</v>
      </c>
      <c r="G272" t="s">
        <v>449</v>
      </c>
      <c r="H272" t="s">
        <v>830</v>
      </c>
      <c r="I272" t="s">
        <v>1952</v>
      </c>
      <c r="J272" t="s">
        <v>1286</v>
      </c>
      <c r="K272" t="s">
        <v>893</v>
      </c>
      <c r="L272" t="s">
        <v>2289</v>
      </c>
      <c r="M272" t="s">
        <v>2258</v>
      </c>
      <c r="N272">
        <v>2010</v>
      </c>
      <c r="O272" t="s">
        <v>830</v>
      </c>
      <c r="P272" t="s">
        <v>2290</v>
      </c>
      <c r="Q272" t="s">
        <v>830</v>
      </c>
      <c r="T272" t="s">
        <v>830</v>
      </c>
      <c r="U272" t="s">
        <v>830</v>
      </c>
      <c r="W272" t="s">
        <v>2281</v>
      </c>
      <c r="X272" t="s">
        <v>2305</v>
      </c>
      <c r="Y272" t="s">
        <v>830</v>
      </c>
      <c r="Z272">
        <v>1</v>
      </c>
      <c r="AA272">
        <v>509</v>
      </c>
      <c r="AB272">
        <v>17.22</v>
      </c>
      <c r="AC272" t="str">
        <f t="shared" si="22"/>
        <v/>
      </c>
      <c r="AE272" t="str">
        <f t="shared" si="23"/>
        <v/>
      </c>
      <c r="AI272" t="str">
        <f t="shared" si="24"/>
        <v/>
      </c>
      <c r="AJ272" t="str">
        <f t="shared" si="25"/>
        <v/>
      </c>
      <c r="AK272" s="8"/>
      <c r="AL272" s="8"/>
      <c r="AM272" s="8"/>
      <c r="AN272" t="str">
        <f t="shared" si="26"/>
        <v/>
      </c>
    </row>
    <row r="273" spans="1:40" x14ac:dyDescent="0.2">
      <c r="A273" s="8" t="s">
        <v>449</v>
      </c>
      <c r="B273" s="8" t="s">
        <v>450</v>
      </c>
      <c r="C273" s="8">
        <v>0</v>
      </c>
      <c r="D273" s="8" t="s">
        <v>451</v>
      </c>
      <c r="E273" s="8" t="s">
        <v>452</v>
      </c>
      <c r="F273" s="8" t="s">
        <v>453</v>
      </c>
      <c r="G273" s="8" t="s">
        <v>449</v>
      </c>
      <c r="H273" t="s">
        <v>2288</v>
      </c>
      <c r="K273" t="s">
        <v>893</v>
      </c>
      <c r="M273" t="s">
        <v>894</v>
      </c>
      <c r="N273">
        <v>2010</v>
      </c>
      <c r="T273" t="s">
        <v>1598</v>
      </c>
      <c r="W273" t="s">
        <v>2281</v>
      </c>
      <c r="X273" t="s">
        <v>1649</v>
      </c>
      <c r="AA273" s="8">
        <v>291</v>
      </c>
      <c r="AB273" s="8">
        <v>10</v>
      </c>
      <c r="AC273" t="str">
        <f t="shared" si="22"/>
        <v/>
      </c>
      <c r="AE273" t="str">
        <f t="shared" si="23"/>
        <v/>
      </c>
      <c r="AI273" t="str">
        <f t="shared" si="24"/>
        <v/>
      </c>
      <c r="AJ273" t="str">
        <f t="shared" si="25"/>
        <v/>
      </c>
      <c r="AN273" t="str">
        <f t="shared" si="26"/>
        <v/>
      </c>
    </row>
    <row r="274" spans="1:40" x14ac:dyDescent="0.2">
      <c r="A274" s="8" t="s">
        <v>449</v>
      </c>
      <c r="B274" s="8" t="s">
        <v>450</v>
      </c>
      <c r="C274" s="8">
        <v>1</v>
      </c>
      <c r="D274" s="8" t="s">
        <v>451</v>
      </c>
      <c r="E274" s="8" t="s">
        <v>452</v>
      </c>
      <c r="F274" s="8" t="s">
        <v>453</v>
      </c>
      <c r="G274" s="8" t="s">
        <v>449</v>
      </c>
      <c r="H274" t="s">
        <v>2288</v>
      </c>
      <c r="K274" t="s">
        <v>893</v>
      </c>
      <c r="M274" t="s">
        <v>894</v>
      </c>
      <c r="N274">
        <v>2010</v>
      </c>
      <c r="T274" t="s">
        <v>1598</v>
      </c>
      <c r="W274" t="s">
        <v>2281</v>
      </c>
      <c r="X274" t="s">
        <v>1649</v>
      </c>
      <c r="AA274" s="8">
        <v>227</v>
      </c>
      <c r="AB274" s="8">
        <v>10</v>
      </c>
      <c r="AC274" t="str">
        <f t="shared" si="22"/>
        <v/>
      </c>
      <c r="AE274" t="str">
        <f t="shared" si="23"/>
        <v/>
      </c>
      <c r="AI274" t="str">
        <f t="shared" si="24"/>
        <v/>
      </c>
      <c r="AJ274" t="str">
        <f t="shared" si="25"/>
        <v/>
      </c>
      <c r="AN274" t="str">
        <f t="shared" si="26"/>
        <v/>
      </c>
    </row>
    <row r="275" spans="1:40" x14ac:dyDescent="0.2">
      <c r="A275" s="8" t="s">
        <v>449</v>
      </c>
      <c r="B275" s="8" t="s">
        <v>450</v>
      </c>
      <c r="C275" s="8">
        <v>2</v>
      </c>
      <c r="D275" s="8" t="s">
        <v>451</v>
      </c>
      <c r="E275" s="8" t="s">
        <v>452</v>
      </c>
      <c r="F275" s="8" t="s">
        <v>453</v>
      </c>
      <c r="G275" s="8" t="s">
        <v>449</v>
      </c>
      <c r="H275" t="s">
        <v>2288</v>
      </c>
      <c r="K275" t="s">
        <v>893</v>
      </c>
      <c r="M275" t="s">
        <v>894</v>
      </c>
      <c r="N275">
        <v>2010</v>
      </c>
      <c r="T275" t="s">
        <v>1598</v>
      </c>
      <c r="W275" t="s">
        <v>2281</v>
      </c>
      <c r="X275" t="s">
        <v>1649</v>
      </c>
      <c r="AA275" s="8">
        <v>315</v>
      </c>
      <c r="AB275" s="8">
        <v>15</v>
      </c>
      <c r="AC275" t="str">
        <f t="shared" si="22"/>
        <v/>
      </c>
      <c r="AE275" t="str">
        <f t="shared" si="23"/>
        <v/>
      </c>
      <c r="AI275" t="str">
        <f t="shared" si="24"/>
        <v/>
      </c>
      <c r="AJ275" t="str">
        <f t="shared" si="25"/>
        <v/>
      </c>
      <c r="AN275" t="str">
        <f t="shared" si="26"/>
        <v/>
      </c>
    </row>
    <row r="276" spans="1:40" ht="15" x14ac:dyDescent="0.25">
      <c r="A276" t="s">
        <v>454</v>
      </c>
      <c r="B276" s="17" t="s">
        <v>3030</v>
      </c>
      <c r="C276">
        <v>10</v>
      </c>
      <c r="D276" t="s">
        <v>455</v>
      </c>
      <c r="E276" t="s">
        <v>455</v>
      </c>
      <c r="F276" t="s">
        <v>8</v>
      </c>
      <c r="G276" t="s">
        <v>8</v>
      </c>
      <c r="H276" t="s">
        <v>830</v>
      </c>
      <c r="I276" t="s">
        <v>2385</v>
      </c>
      <c r="J276" t="s">
        <v>1255</v>
      </c>
      <c r="K276" t="s">
        <v>848</v>
      </c>
      <c r="L276" t="s">
        <v>2322</v>
      </c>
      <c r="M276" t="s">
        <v>2324</v>
      </c>
      <c r="N276">
        <v>2018</v>
      </c>
      <c r="O276" t="s">
        <v>830</v>
      </c>
      <c r="P276" t="s">
        <v>2330</v>
      </c>
      <c r="Q276" t="s">
        <v>830</v>
      </c>
      <c r="T276" t="s">
        <v>830</v>
      </c>
      <c r="U276" t="s">
        <v>830</v>
      </c>
      <c r="W276" t="s">
        <v>2343</v>
      </c>
      <c r="X276" t="s">
        <v>2341</v>
      </c>
      <c r="Y276" t="s">
        <v>830</v>
      </c>
      <c r="Z276">
        <v>0</v>
      </c>
      <c r="AA276">
        <v>1324</v>
      </c>
      <c r="AB276">
        <v>38.53</v>
      </c>
      <c r="AC276" t="str">
        <f t="shared" si="22"/>
        <v>OHNBMH</v>
      </c>
      <c r="AD276" t="s">
        <v>3156</v>
      </c>
      <c r="AE276" t="str">
        <f t="shared" si="23"/>
        <v>2H4NBAMH</v>
      </c>
      <c r="AF276" t="s">
        <v>3165</v>
      </c>
      <c r="AG276" s="15" t="s">
        <v>2919</v>
      </c>
      <c r="AH276" t="s">
        <v>2884</v>
      </c>
      <c r="AI276" t="str">
        <f t="shared" si="24"/>
        <v>CSD,version,6.01,with,Feb,2026,update</v>
      </c>
      <c r="AJ276" t="str">
        <f t="shared" si="25"/>
        <v>C7,H5,N1,O5,.,H2,O1</v>
      </c>
      <c r="AK276" t="s">
        <v>3127</v>
      </c>
      <c r="AL276">
        <v>1</v>
      </c>
      <c r="AM276">
        <v>1</v>
      </c>
      <c r="AN276" t="str">
        <f>IF(AM276&lt;&gt;"",CONCATENATE(AC276," &amp; \ce{",SUBSTITUTE(AJ276,","," "),"} &amp; ",SUBSTITUTE(AF276,"."," ")," &amp; ",AL276," &amp; ",AM276," \\"),"")</f>
        <v>OHNBMH &amp; \ce{C7 H5 N1 O5 . H2 O1} &amp; 2-Hydroxy-4-Nitrobenzoic Acid Monohydrate &amp; 1 &amp; 1 \\</v>
      </c>
    </row>
    <row r="277" spans="1:40" ht="15" x14ac:dyDescent="0.25">
      <c r="A277" t="s">
        <v>2186</v>
      </c>
      <c r="B277" s="17" t="s">
        <v>3428</v>
      </c>
      <c r="C277">
        <v>10</v>
      </c>
      <c r="D277" t="s">
        <v>1039</v>
      </c>
      <c r="E277" t="s">
        <v>1040</v>
      </c>
      <c r="F277" t="s">
        <v>1039</v>
      </c>
      <c r="G277" s="4" t="s">
        <v>2185</v>
      </c>
      <c r="H277" t="s">
        <v>830</v>
      </c>
      <c r="I277" t="s">
        <v>1952</v>
      </c>
      <c r="J277" t="s">
        <v>1044</v>
      </c>
      <c r="K277" t="s">
        <v>1042</v>
      </c>
      <c r="L277" t="s">
        <v>1041</v>
      </c>
      <c r="M277" t="s">
        <v>1887</v>
      </c>
      <c r="N277" t="s">
        <v>1043</v>
      </c>
      <c r="O277" t="s">
        <v>830</v>
      </c>
      <c r="P277" t="s">
        <v>1491</v>
      </c>
      <c r="Q277" t="s">
        <v>830</v>
      </c>
      <c r="T277" t="s">
        <v>830</v>
      </c>
      <c r="U277" t="s">
        <v>830</v>
      </c>
      <c r="W277" t="s">
        <v>2250</v>
      </c>
      <c r="X277" t="s">
        <v>2189</v>
      </c>
      <c r="Y277" t="s">
        <v>830</v>
      </c>
      <c r="Z277">
        <v>1</v>
      </c>
      <c r="AA277">
        <v>5768</v>
      </c>
      <c r="AB277">
        <v>83.32</v>
      </c>
      <c r="AC277" t="str">
        <f t="shared" si="22"/>
        <v>OJIGOG</v>
      </c>
      <c r="AD277" s="4" t="s">
        <v>2981</v>
      </c>
      <c r="AE277" t="str">
        <f t="shared" si="23"/>
        <v>BTXXVIII</v>
      </c>
      <c r="AF277" s="4" t="s">
        <v>2980</v>
      </c>
      <c r="AG277" s="16" t="s">
        <v>2925</v>
      </c>
      <c r="AH277" s="4" t="s">
        <v>2948</v>
      </c>
      <c r="AI277" t="str">
        <f t="shared" si="24"/>
        <v>CSD,version,6.01</v>
      </c>
      <c r="AJ277" t="str">
        <f t="shared" si="25"/>
        <v>C26,H22,N2,Cl2,Cu1</v>
      </c>
      <c r="AK277" s="4" t="s">
        <v>3059</v>
      </c>
      <c r="AL277">
        <v>2</v>
      </c>
      <c r="AM277">
        <v>4</v>
      </c>
      <c r="AN277" t="str">
        <f>IF(AM277&lt;&gt;"",CONCATENATE(AC277," &amp; \ce{",SUBSTITUTE(AJ277,","," "),"} &amp; ",SUBSTITUTE(AF277,"."," ")," &amp; ",AL277," &amp; ",AM277," \\"),"")</f>
        <v>OJIGOG &amp; \ce{C26 H22 N2 Cl2 Cu1} &amp; Blind Test XXVIII (OJIGOG) &amp; 2 &amp; 4 \\</v>
      </c>
    </row>
    <row r="278" spans="1:40" ht="15" x14ac:dyDescent="0.25">
      <c r="A278" t="s">
        <v>2186</v>
      </c>
      <c r="B278" s="17" t="s">
        <v>3428</v>
      </c>
      <c r="C278">
        <v>11</v>
      </c>
      <c r="D278" t="s">
        <v>1039</v>
      </c>
      <c r="E278" t="s">
        <v>1040</v>
      </c>
      <c r="F278" t="s">
        <v>1039</v>
      </c>
      <c r="G278" s="4" t="s">
        <v>2185</v>
      </c>
      <c r="H278" t="s">
        <v>830</v>
      </c>
      <c r="I278" t="s">
        <v>1952</v>
      </c>
      <c r="J278" t="s">
        <v>1045</v>
      </c>
      <c r="K278" t="s">
        <v>1042</v>
      </c>
      <c r="L278" t="s">
        <v>1002</v>
      </c>
      <c r="M278" t="s">
        <v>2187</v>
      </c>
      <c r="N278" t="s">
        <v>987</v>
      </c>
      <c r="O278" t="s">
        <v>830</v>
      </c>
      <c r="P278" t="s">
        <v>1491</v>
      </c>
      <c r="Q278" t="s">
        <v>830</v>
      </c>
      <c r="T278" t="s">
        <v>830</v>
      </c>
      <c r="U278" t="s">
        <v>830</v>
      </c>
      <c r="W278" t="s">
        <v>2250</v>
      </c>
      <c r="X278" t="s">
        <v>2190</v>
      </c>
      <c r="Y278" t="s">
        <v>830</v>
      </c>
      <c r="Z278">
        <v>1</v>
      </c>
      <c r="AA278">
        <v>500</v>
      </c>
      <c r="AB278">
        <v>83.656999999999996</v>
      </c>
      <c r="AC278" t="str">
        <f t="shared" si="22"/>
        <v/>
      </c>
      <c r="AE278" t="str">
        <f t="shared" si="23"/>
        <v/>
      </c>
      <c r="AI278" t="str">
        <f t="shared" si="24"/>
        <v/>
      </c>
      <c r="AJ278" t="str">
        <f t="shared" si="25"/>
        <v/>
      </c>
      <c r="AN278" t="str">
        <f>IF(AM278&lt;&gt;"",CONCATENATE(AC278," &amp; ",SUBSTITUTE(AJ278,","," ")," &amp; ",SUBSTITUTE(AF278,"."," ")," &amp; ",AL278," &amp; ",AM278," \\"),"")</f>
        <v/>
      </c>
    </row>
    <row r="279" spans="1:40" ht="15" x14ac:dyDescent="0.25">
      <c r="A279" t="s">
        <v>2186</v>
      </c>
      <c r="B279" s="17" t="s">
        <v>3428</v>
      </c>
      <c r="C279">
        <v>12</v>
      </c>
      <c r="D279" t="s">
        <v>1039</v>
      </c>
      <c r="E279" t="s">
        <v>1040</v>
      </c>
      <c r="F279" t="s">
        <v>1039</v>
      </c>
      <c r="G279" s="4" t="s">
        <v>2185</v>
      </c>
      <c r="H279" t="s">
        <v>830</v>
      </c>
      <c r="I279" t="s">
        <v>1952</v>
      </c>
      <c r="J279" t="s">
        <v>1046</v>
      </c>
      <c r="K279" t="s">
        <v>1042</v>
      </c>
      <c r="L279" t="s">
        <v>1002</v>
      </c>
      <c r="M279" t="s">
        <v>1886</v>
      </c>
      <c r="N279" t="s">
        <v>987</v>
      </c>
      <c r="O279" t="s">
        <v>830</v>
      </c>
      <c r="P279" t="s">
        <v>2188</v>
      </c>
      <c r="Q279" t="s">
        <v>830</v>
      </c>
      <c r="T279" t="s">
        <v>830</v>
      </c>
      <c r="U279" t="s">
        <v>830</v>
      </c>
      <c r="W279" t="s">
        <v>2250</v>
      </c>
      <c r="X279" t="s">
        <v>2191</v>
      </c>
      <c r="Y279" t="s">
        <v>830</v>
      </c>
      <c r="Z279">
        <v>1</v>
      </c>
      <c r="AA279">
        <v>500</v>
      </c>
      <c r="AB279">
        <v>116.10299999999999</v>
      </c>
      <c r="AC279" t="str">
        <f t="shared" si="22"/>
        <v/>
      </c>
      <c r="AE279" t="str">
        <f t="shared" si="23"/>
        <v/>
      </c>
      <c r="AI279" t="str">
        <f t="shared" si="24"/>
        <v/>
      </c>
      <c r="AJ279" t="str">
        <f t="shared" si="25"/>
        <v/>
      </c>
      <c r="AN279" t="str">
        <f>IF(AM279&lt;&gt;"",CONCATENATE(AC279," &amp; ",SUBSTITUTE(AJ279,","," ")," &amp; ",SUBSTITUTE(AF279,"."," ")," &amp; ",AL279," &amp; ",AM279," \\"),"")</f>
        <v/>
      </c>
    </row>
    <row r="280" spans="1:40" ht="15" x14ac:dyDescent="0.25">
      <c r="A280" t="s">
        <v>2186</v>
      </c>
      <c r="B280" s="17" t="s">
        <v>3428</v>
      </c>
      <c r="C280">
        <v>20</v>
      </c>
      <c r="D280" t="s">
        <v>1039</v>
      </c>
      <c r="E280" t="s">
        <v>1040</v>
      </c>
      <c r="F280" t="s">
        <v>1039</v>
      </c>
      <c r="G280" s="4" t="s">
        <v>2185</v>
      </c>
      <c r="H280" t="s">
        <v>830</v>
      </c>
      <c r="I280" t="s">
        <v>1952</v>
      </c>
      <c r="J280" t="s">
        <v>1047</v>
      </c>
      <c r="K280" t="s">
        <v>1042</v>
      </c>
      <c r="L280" t="s">
        <v>1005</v>
      </c>
      <c r="M280" t="s">
        <v>2187</v>
      </c>
      <c r="N280" t="s">
        <v>998</v>
      </c>
      <c r="O280" t="s">
        <v>830</v>
      </c>
      <c r="P280" t="s">
        <v>1491</v>
      </c>
      <c r="Q280" t="s">
        <v>830</v>
      </c>
      <c r="T280" t="s">
        <v>830</v>
      </c>
      <c r="U280" t="s">
        <v>830</v>
      </c>
      <c r="W280" t="s">
        <v>2250</v>
      </c>
      <c r="X280" t="s">
        <v>2192</v>
      </c>
      <c r="Y280" t="s">
        <v>830</v>
      </c>
      <c r="Z280">
        <v>1</v>
      </c>
      <c r="AA280">
        <v>6700</v>
      </c>
      <c r="AB280">
        <v>60.92</v>
      </c>
      <c r="AC280" t="str">
        <f t="shared" si="22"/>
        <v/>
      </c>
      <c r="AE280" t="str">
        <f t="shared" si="23"/>
        <v/>
      </c>
      <c r="AI280" t="str">
        <f t="shared" si="24"/>
        <v/>
      </c>
      <c r="AJ280" t="str">
        <f t="shared" si="25"/>
        <v/>
      </c>
      <c r="AN280" t="str">
        <f>IF(AM280&lt;&gt;"",CONCATENATE(AC280," &amp; ",SUBSTITUTE(AJ280,","," ")," &amp; ",SUBSTITUTE(AF280,"."," ")," &amp; ",AL280," &amp; ",AM280," \\"),"")</f>
        <v/>
      </c>
    </row>
    <row r="281" spans="1:40" x14ac:dyDescent="0.2">
      <c r="A281" t="s">
        <v>457</v>
      </c>
      <c r="B281" t="s">
        <v>458</v>
      </c>
      <c r="C281">
        <v>0</v>
      </c>
      <c r="D281" t="s">
        <v>459</v>
      </c>
      <c r="E281" t="s">
        <v>459</v>
      </c>
      <c r="F281" t="s">
        <v>8</v>
      </c>
      <c r="H281" s="4" t="s">
        <v>830</v>
      </c>
      <c r="I281" t="s">
        <v>2385</v>
      </c>
      <c r="J281" t="s">
        <v>1218</v>
      </c>
      <c r="K281" t="s">
        <v>897</v>
      </c>
      <c r="L281" t="s">
        <v>1553</v>
      </c>
      <c r="M281" t="s">
        <v>876</v>
      </c>
      <c r="N281" t="s">
        <v>1876</v>
      </c>
      <c r="O281" t="s">
        <v>830</v>
      </c>
      <c r="P281" t="s">
        <v>2796</v>
      </c>
      <c r="Q281" t="s">
        <v>830</v>
      </c>
      <c r="T281" t="s">
        <v>830</v>
      </c>
      <c r="U281" t="s">
        <v>830</v>
      </c>
      <c r="W281" t="s">
        <v>2836</v>
      </c>
      <c r="X281" s="4" t="s">
        <v>2799</v>
      </c>
      <c r="Y281" t="s">
        <v>830</v>
      </c>
      <c r="Z281">
        <v>0</v>
      </c>
      <c r="AA281">
        <v>314</v>
      </c>
      <c r="AB281">
        <v>20</v>
      </c>
      <c r="AC281" t="str">
        <f t="shared" si="22"/>
        <v>OROTIC</v>
      </c>
      <c r="AD281" t="s">
        <v>3273</v>
      </c>
      <c r="AE281" t="str">
        <f t="shared" si="23"/>
        <v>OroticAcid</v>
      </c>
      <c r="AF281" t="s">
        <v>3274</v>
      </c>
      <c r="AG281" s="15" t="s">
        <v>2887</v>
      </c>
      <c r="AH281" t="s">
        <v>2884</v>
      </c>
      <c r="AI281" t="str">
        <f t="shared" si="24"/>
        <v>CSD,version,6.01,with,Feb,2026,update</v>
      </c>
      <c r="AJ281" t="str">
        <f t="shared" si="25"/>
        <v>C5,H4,N2,O4</v>
      </c>
      <c r="AK281" s="4" t="s">
        <v>3127</v>
      </c>
      <c r="AL281">
        <v>1</v>
      </c>
      <c r="AM281">
        <v>1</v>
      </c>
      <c r="AN281" t="str">
        <f>IF(AM281&lt;&gt;"",CONCATENATE(AC281," &amp; \ce{",SUBSTITUTE(AJ281,","," "),"} &amp; ",SUBSTITUTE(AF281,"."," ")," &amp; ",AL281," &amp; ",AM281," \\"),"")</f>
        <v>OROTIC &amp; \ce{C5 H4 N2 O4} &amp; Orotic Acid &amp; 1 &amp; 1 \\</v>
      </c>
    </row>
    <row r="282" spans="1:40" s="8" customFormat="1" x14ac:dyDescent="0.2">
      <c r="A282" t="s">
        <v>460</v>
      </c>
      <c r="B282" t="s">
        <v>461</v>
      </c>
      <c r="C282">
        <v>0</v>
      </c>
      <c r="D282" t="s">
        <v>462</v>
      </c>
      <c r="E282" t="s">
        <v>463</v>
      </c>
      <c r="F282" t="s">
        <v>464</v>
      </c>
      <c r="G282" t="s">
        <v>460</v>
      </c>
      <c r="H282" t="s">
        <v>830</v>
      </c>
      <c r="I282" t="s">
        <v>1952</v>
      </c>
      <c r="J282" t="s">
        <v>1219</v>
      </c>
      <c r="K282" t="s">
        <v>1668</v>
      </c>
      <c r="L282" t="s">
        <v>1553</v>
      </c>
      <c r="M282" t="s">
        <v>2311</v>
      </c>
      <c r="N282">
        <v>2008</v>
      </c>
      <c r="O282" t="s">
        <v>830</v>
      </c>
      <c r="P282" t="s">
        <v>2309</v>
      </c>
      <c r="Q282" t="s">
        <v>830</v>
      </c>
      <c r="R282"/>
      <c r="S282"/>
      <c r="T282" t="s">
        <v>830</v>
      </c>
      <c r="U282" t="s">
        <v>830</v>
      </c>
      <c r="V282"/>
      <c r="W282" t="s">
        <v>2281</v>
      </c>
      <c r="X282" t="s">
        <v>2314</v>
      </c>
      <c r="Y282" t="s">
        <v>830</v>
      </c>
      <c r="Z282">
        <v>1</v>
      </c>
      <c r="AA282">
        <v>645</v>
      </c>
      <c r="AB282">
        <v>20</v>
      </c>
      <c r="AC282" t="str">
        <f t="shared" si="22"/>
        <v>OTOLIC</v>
      </c>
      <c r="AD282" t="s">
        <v>2921</v>
      </c>
      <c r="AE282" t="str">
        <f t="shared" si="23"/>
        <v>OtolicAcid</v>
      </c>
      <c r="AF282" t="s">
        <v>2937</v>
      </c>
      <c r="AG282" s="15" t="s">
        <v>2919</v>
      </c>
      <c r="AH282" t="s">
        <v>2922</v>
      </c>
      <c r="AI282" t="str">
        <f t="shared" si="24"/>
        <v>CSD,version,6.01</v>
      </c>
      <c r="AJ282" t="str">
        <f t="shared" si="25"/>
        <v>C8,H8,O2</v>
      </c>
      <c r="AK282" s="4" t="s">
        <v>3059</v>
      </c>
      <c r="AL282">
        <v>2</v>
      </c>
      <c r="AM282">
        <v>2</v>
      </c>
      <c r="AN282" t="str">
        <f>IF(AM282&lt;&gt;"",CONCATENATE(AC282," &amp; \ce{",SUBSTITUTE(AJ282,","," "),"} &amp; ",SUBSTITUTE(AF282,"."," ")," &amp; ",AL282," &amp; ",AM282," \\"),"")</f>
        <v>OTOLIC &amp; \ce{C8 H8 O2} &amp; Otolic Acid &amp; 2 &amp; 2 \\</v>
      </c>
    </row>
    <row r="283" spans="1:40" s="8" customFormat="1" x14ac:dyDescent="0.2">
      <c r="A283" t="s">
        <v>460</v>
      </c>
      <c r="B283" t="s">
        <v>461</v>
      </c>
      <c r="C283">
        <v>11</v>
      </c>
      <c r="D283" t="s">
        <v>462</v>
      </c>
      <c r="E283" t="s">
        <v>463</v>
      </c>
      <c r="F283" t="s">
        <v>465</v>
      </c>
      <c r="G283" t="s">
        <v>460</v>
      </c>
      <c r="H283" t="s">
        <v>830</v>
      </c>
      <c r="I283" t="s">
        <v>1952</v>
      </c>
      <c r="J283" t="s">
        <v>1220</v>
      </c>
      <c r="K283" t="s">
        <v>1668</v>
      </c>
      <c r="L283" t="s">
        <v>2315</v>
      </c>
      <c r="M283" t="s">
        <v>2311</v>
      </c>
      <c r="N283">
        <v>2008</v>
      </c>
      <c r="O283" t="s">
        <v>830</v>
      </c>
      <c r="P283" t="s">
        <v>2309</v>
      </c>
      <c r="Q283" t="s">
        <v>830</v>
      </c>
      <c r="R283"/>
      <c r="S283"/>
      <c r="T283" t="s">
        <v>830</v>
      </c>
      <c r="U283" t="s">
        <v>830</v>
      </c>
      <c r="V283"/>
      <c r="W283" t="s">
        <v>2281</v>
      </c>
      <c r="X283" t="s">
        <v>2313</v>
      </c>
      <c r="Y283" t="s">
        <v>830</v>
      </c>
      <c r="Z283">
        <v>1</v>
      </c>
      <c r="AA283">
        <v>20</v>
      </c>
      <c r="AB283">
        <v>6.6349999999999998</v>
      </c>
      <c r="AC283" t="str">
        <f t="shared" si="22"/>
        <v/>
      </c>
      <c r="AD283"/>
      <c r="AE283" t="str">
        <f t="shared" si="23"/>
        <v/>
      </c>
      <c r="AF283"/>
      <c r="AG283" s="15"/>
      <c r="AH283"/>
      <c r="AI283" t="str">
        <f t="shared" si="24"/>
        <v/>
      </c>
      <c r="AJ283" t="str">
        <f t="shared" si="25"/>
        <v/>
      </c>
      <c r="AK283"/>
      <c r="AL283"/>
      <c r="AM283"/>
      <c r="AN283" t="str">
        <f>IF(AM283&lt;&gt;"",CONCATENATE(AC283," &amp; ",SUBSTITUTE(AJ283,","," ")," &amp; ",SUBSTITUTE(AF283,"."," ")," &amp; ",AL283," &amp; ",AM283," \\"),"")</f>
        <v/>
      </c>
    </row>
    <row r="284" spans="1:40" x14ac:dyDescent="0.2">
      <c r="A284" s="8" t="s">
        <v>460</v>
      </c>
      <c r="B284" s="8" t="s">
        <v>461</v>
      </c>
      <c r="C284" s="8">
        <v>10</v>
      </c>
      <c r="D284" s="8" t="s">
        <v>462</v>
      </c>
      <c r="E284" s="8" t="s">
        <v>463</v>
      </c>
      <c r="F284" s="8" t="s">
        <v>465</v>
      </c>
      <c r="G284" s="8" t="s">
        <v>460</v>
      </c>
      <c r="H284" t="s">
        <v>2507</v>
      </c>
      <c r="M284" t="s">
        <v>2311</v>
      </c>
      <c r="N284">
        <v>2008</v>
      </c>
      <c r="T284" t="s">
        <v>1598</v>
      </c>
      <c r="W284" t="s">
        <v>2281</v>
      </c>
      <c r="AA284" s="8">
        <v>780</v>
      </c>
      <c r="AB284" s="8">
        <v>21.68</v>
      </c>
      <c r="AC284" t="str">
        <f t="shared" si="22"/>
        <v/>
      </c>
      <c r="AE284" t="str">
        <f t="shared" si="23"/>
        <v/>
      </c>
      <c r="AI284" t="str">
        <f t="shared" si="24"/>
        <v/>
      </c>
      <c r="AJ284" t="str">
        <f t="shared" si="25"/>
        <v/>
      </c>
      <c r="AK284" s="8"/>
      <c r="AL284" s="8"/>
      <c r="AM284" s="8"/>
      <c r="AN284" t="str">
        <f>IF(AM284&lt;&gt;"",CONCATENATE(AC284," &amp; ",SUBSTITUTE(AJ284,","," ")," &amp; ",SUBSTITUTE(AF284,"."," ")," &amp; ",AL284," &amp; ",AM284," \\"),"")</f>
        <v/>
      </c>
    </row>
    <row r="285" spans="1:40" x14ac:dyDescent="0.2">
      <c r="A285" t="s">
        <v>468</v>
      </c>
      <c r="B285" t="s">
        <v>469</v>
      </c>
      <c r="C285">
        <v>0</v>
      </c>
      <c r="D285" t="s">
        <v>470</v>
      </c>
      <c r="E285" t="s">
        <v>471</v>
      </c>
      <c r="F285" s="4" t="s">
        <v>2304</v>
      </c>
      <c r="G285" s="4" t="s">
        <v>2303</v>
      </c>
      <c r="H285" t="s">
        <v>830</v>
      </c>
      <c r="I285" t="s">
        <v>1952</v>
      </c>
      <c r="J285" t="s">
        <v>1200</v>
      </c>
      <c r="K285" t="s">
        <v>838</v>
      </c>
      <c r="L285" t="s">
        <v>1558</v>
      </c>
      <c r="M285" t="s">
        <v>2302</v>
      </c>
      <c r="N285">
        <v>2005</v>
      </c>
      <c r="O285" t="s">
        <v>830</v>
      </c>
      <c r="P285" t="s">
        <v>2301</v>
      </c>
      <c r="Q285" t="s">
        <v>830</v>
      </c>
      <c r="T285" t="s">
        <v>830</v>
      </c>
      <c r="U285" t="s">
        <v>830</v>
      </c>
      <c r="W285" t="s">
        <v>2281</v>
      </c>
      <c r="X285" t="s">
        <v>2924</v>
      </c>
      <c r="Y285" t="s">
        <v>830</v>
      </c>
      <c r="Z285">
        <v>1</v>
      </c>
      <c r="AA285">
        <v>47</v>
      </c>
      <c r="AB285">
        <v>7.45</v>
      </c>
      <c r="AC285" t="str">
        <f t="shared" si="22"/>
        <v>PAHYON</v>
      </c>
      <c r="AD285" t="s">
        <v>2913</v>
      </c>
      <c r="AE285" t="str">
        <f t="shared" si="23"/>
        <v>BTVIII</v>
      </c>
      <c r="AF285" t="s">
        <v>2938</v>
      </c>
      <c r="AG285" s="15" t="s">
        <v>2919</v>
      </c>
      <c r="AH285" t="s">
        <v>2884</v>
      </c>
      <c r="AI285" t="str">
        <f t="shared" si="24"/>
        <v>CSD,version,6.01</v>
      </c>
      <c r="AJ285" t="str">
        <f t="shared" si="25"/>
        <v>C3,H4,N2,O2</v>
      </c>
      <c r="AK285" s="8" t="s">
        <v>3059</v>
      </c>
      <c r="AL285">
        <v>1</v>
      </c>
      <c r="AM285">
        <v>1</v>
      </c>
      <c r="AN285" t="str">
        <f>IF(AM285&lt;&gt;"",CONCATENATE(AC285," &amp; \ce{",SUBSTITUTE(AJ285,","," "),"} &amp; ",SUBSTITUTE(AF285,"."," ")," &amp; ",AL285," &amp; ",AM285," \\"),"")</f>
        <v>PAHYON &amp; \ce{C3 H4 N2 O2} &amp; Hydantoin (Blind Test VIII) &amp; 1 &amp; 1 \\</v>
      </c>
    </row>
    <row r="286" spans="1:40" x14ac:dyDescent="0.2">
      <c r="A286" t="s">
        <v>472</v>
      </c>
      <c r="B286" t="s">
        <v>473</v>
      </c>
      <c r="C286">
        <v>0</v>
      </c>
      <c r="D286" t="s">
        <v>474</v>
      </c>
      <c r="E286" t="s">
        <v>475</v>
      </c>
      <c r="F286" t="s">
        <v>8</v>
      </c>
      <c r="G286" t="s">
        <v>2778</v>
      </c>
      <c r="H286" s="4" t="s">
        <v>830</v>
      </c>
      <c r="I286" t="s">
        <v>2385</v>
      </c>
      <c r="J286" t="s">
        <v>1221</v>
      </c>
      <c r="K286" t="s">
        <v>838</v>
      </c>
      <c r="L286" t="s">
        <v>1558</v>
      </c>
      <c r="M286" s="4" t="s">
        <v>2802</v>
      </c>
      <c r="N286">
        <v>2005</v>
      </c>
      <c r="O286" t="s">
        <v>830</v>
      </c>
      <c r="P286" t="s">
        <v>2798</v>
      </c>
      <c r="Q286" t="s">
        <v>830</v>
      </c>
      <c r="T286" t="s">
        <v>830</v>
      </c>
      <c r="U286" t="s">
        <v>830</v>
      </c>
      <c r="W286" t="s">
        <v>2836</v>
      </c>
      <c r="X286" s="4" t="s">
        <v>2801</v>
      </c>
      <c r="Y286" t="s">
        <v>830</v>
      </c>
      <c r="Z286">
        <v>1</v>
      </c>
      <c r="AA286">
        <v>28</v>
      </c>
      <c r="AB286">
        <v>6.72</v>
      </c>
      <c r="AC286" t="str">
        <f t="shared" si="22"/>
        <v>PARBAC</v>
      </c>
      <c r="AD286" t="s">
        <v>3275</v>
      </c>
      <c r="AE286" t="str">
        <f t="shared" si="23"/>
        <v>ParabanicAcid</v>
      </c>
      <c r="AF286" t="s">
        <v>3238</v>
      </c>
      <c r="AG286" s="15" t="s">
        <v>2887</v>
      </c>
      <c r="AH286" t="s">
        <v>2884</v>
      </c>
      <c r="AI286" t="str">
        <f t="shared" si="24"/>
        <v>CSD,version,6.01,with,Feb,2026,update</v>
      </c>
      <c r="AJ286" t="str">
        <f t="shared" si="25"/>
        <v>C3,H2,N2,O3</v>
      </c>
      <c r="AL286">
        <v>1</v>
      </c>
      <c r="AM286">
        <v>1</v>
      </c>
      <c r="AN286" t="str">
        <f>IF(AM286&lt;&gt;"",CONCATENATE(AC286," &amp; \ce{",SUBSTITUTE(AJ286,","," "),"} &amp; ",SUBSTITUTE(AF286,"."," ")," &amp; ",AL286," &amp; ",AM286," \\"),"")</f>
        <v>PARBAC &amp; \ce{C3 H2 N2 O3} &amp; Parabanic Acid &amp; 1 &amp; 1 \\</v>
      </c>
    </row>
    <row r="287" spans="1:40" x14ac:dyDescent="0.2">
      <c r="A287" s="8" t="s">
        <v>476</v>
      </c>
      <c r="B287" s="8" t="s">
        <v>3031</v>
      </c>
      <c r="C287" s="8">
        <v>10</v>
      </c>
      <c r="D287" s="8" t="s">
        <v>477</v>
      </c>
      <c r="E287" s="8" t="s">
        <v>477</v>
      </c>
      <c r="F287" s="8" t="s">
        <v>8</v>
      </c>
      <c r="G287" s="8" t="s">
        <v>478</v>
      </c>
      <c r="H287" s="8" t="s">
        <v>2866</v>
      </c>
      <c r="I287" s="8"/>
      <c r="J287" s="8"/>
      <c r="K287" s="8" t="s">
        <v>2368</v>
      </c>
      <c r="L287" s="8"/>
      <c r="M287" s="8" t="s">
        <v>876</v>
      </c>
      <c r="N287" s="8"/>
      <c r="O287" s="8"/>
      <c r="P287" s="8"/>
      <c r="Q287" s="8"/>
      <c r="R287" s="8"/>
      <c r="S287" s="8"/>
      <c r="T287" s="8" t="s">
        <v>1598</v>
      </c>
      <c r="U287" s="8"/>
      <c r="V287" s="8"/>
      <c r="W287" s="8"/>
      <c r="X287" s="8"/>
      <c r="Y287" s="8"/>
      <c r="Z287" s="8"/>
      <c r="AA287" s="8">
        <v>54</v>
      </c>
      <c r="AB287" s="8">
        <v>38.268000000000001</v>
      </c>
      <c r="AC287" t="str">
        <f t="shared" si="22"/>
        <v/>
      </c>
      <c r="AE287" t="str">
        <f t="shared" si="23"/>
        <v/>
      </c>
      <c r="AI287" t="str">
        <f t="shared" si="24"/>
        <v/>
      </c>
      <c r="AJ287" t="str">
        <f t="shared" si="25"/>
        <v/>
      </c>
      <c r="AN287" t="str">
        <f>IF(AM287&lt;&gt;"",CONCATENATE(AC287," &amp; ",SUBSTITUTE(AJ287,","," ")," &amp; ",SUBSTITUTE(AF287,"."," ")," &amp; ",AL287," &amp; ",AM287," \\"),"")</f>
        <v/>
      </c>
    </row>
    <row r="288" spans="1:40" ht="15" x14ac:dyDescent="0.25">
      <c r="A288" t="s">
        <v>479</v>
      </c>
      <c r="B288" s="17" t="s">
        <v>3032</v>
      </c>
      <c r="C288">
        <v>0</v>
      </c>
      <c r="D288" t="s">
        <v>480</v>
      </c>
      <c r="E288" t="s">
        <v>481</v>
      </c>
      <c r="F288" t="s">
        <v>8</v>
      </c>
      <c r="G288" t="s">
        <v>479</v>
      </c>
      <c r="H288" t="s">
        <v>830</v>
      </c>
      <c r="I288" t="s">
        <v>2841</v>
      </c>
      <c r="J288" t="s">
        <v>1223</v>
      </c>
      <c r="K288" t="s">
        <v>2524</v>
      </c>
      <c r="L288" t="s">
        <v>1553</v>
      </c>
      <c r="M288" t="s">
        <v>876</v>
      </c>
      <c r="N288" t="s">
        <v>1876</v>
      </c>
      <c r="O288" t="s">
        <v>830</v>
      </c>
      <c r="P288" t="s">
        <v>2858</v>
      </c>
      <c r="Q288" t="s">
        <v>830</v>
      </c>
      <c r="T288" t="s">
        <v>830</v>
      </c>
      <c r="U288" t="s">
        <v>830</v>
      </c>
      <c r="W288" t="s">
        <v>2861</v>
      </c>
      <c r="X288" t="s">
        <v>2859</v>
      </c>
      <c r="Y288" t="s">
        <v>830</v>
      </c>
      <c r="Z288">
        <v>1</v>
      </c>
      <c r="AA288">
        <v>893</v>
      </c>
      <c r="AB288">
        <v>12</v>
      </c>
      <c r="AC288" t="str">
        <f t="shared" si="22"/>
        <v>PCLNBZ</v>
      </c>
      <c r="AD288" t="s">
        <v>480</v>
      </c>
      <c r="AE288" t="str">
        <f t="shared" si="23"/>
        <v>Pentachloronitrobenzene</v>
      </c>
      <c r="AF288" t="str">
        <f>AE288</f>
        <v>Pentachloronitrobenzene</v>
      </c>
      <c r="AG288" s="15" t="s">
        <v>2887</v>
      </c>
      <c r="AH288" t="s">
        <v>2884</v>
      </c>
      <c r="AI288" t="str">
        <f t="shared" si="24"/>
        <v>CSD,version,6.01,with,Feb,and,May,2026,updates</v>
      </c>
      <c r="AJ288" t="str">
        <f t="shared" si="25"/>
        <v>C6,N1,O2,Cl5</v>
      </c>
      <c r="AL288">
        <v>1</v>
      </c>
      <c r="AM288">
        <v>1</v>
      </c>
      <c r="AN288" t="str">
        <f>IF(AM288&lt;&gt;"",CONCATENATE(AC288," &amp; \ce{",SUBSTITUTE(AJ288,","," "),"} &amp; ",SUBSTITUTE(AF288,"."," ")," &amp; ",AL288," &amp; ",AM288," \\"),"")</f>
        <v>PCLNBZ &amp; \ce{C6 N1 O2 Cl5} &amp; Pentachloronitrobenzene &amp; 1 &amp; 1 \\</v>
      </c>
    </row>
    <row r="289" spans="1:40" x14ac:dyDescent="0.2">
      <c r="A289" s="8" t="s">
        <v>482</v>
      </c>
      <c r="B289" s="8" t="s">
        <v>3031</v>
      </c>
      <c r="C289" s="8">
        <v>10</v>
      </c>
      <c r="D289" s="8" t="s">
        <v>483</v>
      </c>
      <c r="E289" s="8" t="s">
        <v>483</v>
      </c>
      <c r="F289" s="8" t="s">
        <v>8</v>
      </c>
      <c r="G289" s="8" t="s">
        <v>484</v>
      </c>
      <c r="H289" s="8" t="s">
        <v>2866</v>
      </c>
      <c r="I289" s="8"/>
      <c r="J289" s="8"/>
      <c r="K289" s="8" t="s">
        <v>2368</v>
      </c>
      <c r="L289" s="8"/>
      <c r="M289" s="8" t="s">
        <v>876</v>
      </c>
      <c r="N289" s="8"/>
      <c r="O289" s="8"/>
      <c r="P289" s="8"/>
      <c r="Q289" s="8"/>
      <c r="R289" s="8"/>
      <c r="S289" s="8"/>
      <c r="T289" s="8" t="s">
        <v>1598</v>
      </c>
      <c r="U289" s="8"/>
      <c r="V289" s="8"/>
      <c r="W289" s="8"/>
      <c r="X289" s="8"/>
      <c r="Y289" s="8"/>
      <c r="Z289" s="8"/>
      <c r="AA289" s="8">
        <v>50</v>
      </c>
      <c r="AB289" s="8">
        <v>36.066000000000003</v>
      </c>
      <c r="AC289" t="str">
        <f t="shared" si="22"/>
        <v/>
      </c>
      <c r="AE289" t="str">
        <f t="shared" si="23"/>
        <v/>
      </c>
      <c r="AI289" t="str">
        <f t="shared" si="24"/>
        <v/>
      </c>
      <c r="AJ289" t="str">
        <f t="shared" si="25"/>
        <v/>
      </c>
      <c r="AN289" t="str">
        <f>IF(AM289&lt;&gt;"",CONCATENATE(AC289," &amp; ",SUBSTITUTE(AJ289,","," ")," &amp; ",SUBSTITUTE(AF289,"."," ")," &amp; ",AL289," &amp; ",AM289," \\"),"")</f>
        <v/>
      </c>
    </row>
    <row r="290" spans="1:40" x14ac:dyDescent="0.2">
      <c r="A290" t="s">
        <v>485</v>
      </c>
      <c r="B290" t="s">
        <v>486</v>
      </c>
      <c r="C290">
        <v>0</v>
      </c>
      <c r="D290" t="s">
        <v>487</v>
      </c>
      <c r="E290" t="s">
        <v>488</v>
      </c>
      <c r="F290" t="s">
        <v>8</v>
      </c>
      <c r="G290" t="s">
        <v>485</v>
      </c>
      <c r="H290" t="s">
        <v>830</v>
      </c>
      <c r="I290" t="s">
        <v>1543</v>
      </c>
      <c r="J290" t="s">
        <v>1224</v>
      </c>
      <c r="K290" t="s">
        <v>1551</v>
      </c>
      <c r="L290" t="s">
        <v>1553</v>
      </c>
      <c r="M290" t="s">
        <v>1552</v>
      </c>
      <c r="N290">
        <v>2006</v>
      </c>
      <c r="O290" t="s">
        <v>830</v>
      </c>
      <c r="P290" t="s">
        <v>1899</v>
      </c>
      <c r="Q290" t="s">
        <v>830</v>
      </c>
      <c r="R290" t="s">
        <v>830</v>
      </c>
      <c r="S290" t="s">
        <v>1587</v>
      </c>
      <c r="T290" t="s">
        <v>830</v>
      </c>
      <c r="U290" t="s">
        <v>830</v>
      </c>
      <c r="W290" t="s">
        <v>1897</v>
      </c>
      <c r="X290" t="s">
        <v>1898</v>
      </c>
      <c r="Z290">
        <v>1</v>
      </c>
      <c r="AA290">
        <v>181</v>
      </c>
      <c r="AB290">
        <v>10</v>
      </c>
      <c r="AC290" t="str">
        <f t="shared" si="22"/>
        <v>PHALIM</v>
      </c>
      <c r="AD290" t="s">
        <v>487</v>
      </c>
      <c r="AE290" t="str">
        <f t="shared" si="23"/>
        <v>Phthalimide</v>
      </c>
      <c r="AF290" t="str">
        <f>AE290</f>
        <v>Phthalimide</v>
      </c>
      <c r="AG290" s="15" t="s">
        <v>3074</v>
      </c>
      <c r="AH290" t="s">
        <v>3061</v>
      </c>
      <c r="AI290" t="str">
        <f t="shared" si="24"/>
        <v>CSD,version,5.45</v>
      </c>
      <c r="AJ290" t="str">
        <f t="shared" si="25"/>
        <v>C8,H5,N1,O2</v>
      </c>
      <c r="AK290" t="s">
        <v>3057</v>
      </c>
      <c r="AL290">
        <v>1</v>
      </c>
      <c r="AM290">
        <v>1</v>
      </c>
      <c r="AN290" t="str">
        <f>IF(AM290&lt;&gt;"",CONCATENATE(AC290," &amp; \ce{",SUBSTITUTE(AJ290,","," "),"} &amp; ",SUBSTITUTE(AF290,"."," ")," &amp; ",AL290," &amp; ",AM290," \\"),"")</f>
        <v>PHALIM &amp; \ce{C8 H5 N1 O2} &amp; Phthalimide &amp; 1 &amp; 1 \\</v>
      </c>
    </row>
    <row r="291" spans="1:40" ht="15" x14ac:dyDescent="0.25">
      <c r="A291" t="s">
        <v>489</v>
      </c>
      <c r="B291" s="17" t="s">
        <v>3033</v>
      </c>
      <c r="C291">
        <v>10</v>
      </c>
      <c r="D291" t="s">
        <v>1733</v>
      </c>
      <c r="E291" t="s">
        <v>490</v>
      </c>
      <c r="F291" t="s">
        <v>8</v>
      </c>
      <c r="G291" t="s">
        <v>491</v>
      </c>
      <c r="H291" t="s">
        <v>830</v>
      </c>
      <c r="I291" t="s">
        <v>1538</v>
      </c>
      <c r="J291" t="s">
        <v>1732</v>
      </c>
      <c r="K291" t="s">
        <v>898</v>
      </c>
      <c r="L291" t="s">
        <v>1744</v>
      </c>
      <c r="M291" t="s">
        <v>2597</v>
      </c>
      <c r="N291">
        <v>2012</v>
      </c>
      <c r="O291" t="s">
        <v>830</v>
      </c>
      <c r="P291" t="s">
        <v>1743</v>
      </c>
      <c r="Q291" t="s">
        <v>830</v>
      </c>
      <c r="T291" t="s">
        <v>830</v>
      </c>
      <c r="U291" t="s">
        <v>830</v>
      </c>
      <c r="W291" t="s">
        <v>1731</v>
      </c>
      <c r="X291" t="s">
        <v>3314</v>
      </c>
      <c r="Y291" t="s">
        <v>830</v>
      </c>
      <c r="Z291">
        <v>1</v>
      </c>
      <c r="AA291">
        <v>63</v>
      </c>
      <c r="AB291">
        <v>19.279</v>
      </c>
      <c r="AC291" t="str">
        <f t="shared" si="22"/>
        <v>PHGLOH</v>
      </c>
      <c r="AD291" t="s">
        <v>3276</v>
      </c>
      <c r="AE291" t="str">
        <f t="shared" si="23"/>
        <v>PhloroglucinolDihydrate</v>
      </c>
      <c r="AF291" t="s">
        <v>3239</v>
      </c>
      <c r="AG291" s="15" t="s">
        <v>3079</v>
      </c>
      <c r="AH291" t="s">
        <v>2888</v>
      </c>
      <c r="AI291" t="str">
        <f t="shared" si="24"/>
        <v>CSD,version,5.44,with,Jun,and,Sep,2023,updates</v>
      </c>
      <c r="AJ291" t="str">
        <f t="shared" si="25"/>
        <v>C6,H6,O3,.,H2,O1,.,H2,O1</v>
      </c>
      <c r="AL291">
        <v>1</v>
      </c>
      <c r="AM291">
        <v>2</v>
      </c>
      <c r="AN291" t="str">
        <f>IF(AM291&lt;&gt;"",CONCATENATE(AC291," &amp; \ce{",SUBSTITUTE(AJ291,","," "),"} &amp; ",SUBSTITUTE(AF291,"."," ")," &amp; ",AL291," &amp; ",AM291," \\"),"")</f>
        <v>PHGLOH &amp; \ce{C6 H6 O3 . H2 O1 . H2 O1} &amp; Phlorogluninol Dihydrate &amp; 1 &amp; 2 \\</v>
      </c>
    </row>
    <row r="292" spans="1:40" ht="15" x14ac:dyDescent="0.25">
      <c r="A292" t="s">
        <v>489</v>
      </c>
      <c r="B292" s="17" t="s">
        <v>3033</v>
      </c>
      <c r="C292">
        <v>20</v>
      </c>
      <c r="D292" t="s">
        <v>1733</v>
      </c>
      <c r="E292" t="s">
        <v>490</v>
      </c>
      <c r="F292" t="s">
        <v>8</v>
      </c>
      <c r="G292" t="s">
        <v>491</v>
      </c>
      <c r="H292" t="s">
        <v>830</v>
      </c>
      <c r="I292" t="s">
        <v>1538</v>
      </c>
      <c r="J292" t="s">
        <v>1734</v>
      </c>
      <c r="K292" t="s">
        <v>898</v>
      </c>
      <c r="L292" t="s">
        <v>1741</v>
      </c>
      <c r="M292" t="s">
        <v>891</v>
      </c>
      <c r="N292">
        <v>2012</v>
      </c>
      <c r="O292" t="s">
        <v>830</v>
      </c>
      <c r="P292" t="s">
        <v>1743</v>
      </c>
      <c r="Q292" t="s">
        <v>830</v>
      </c>
      <c r="T292" t="s">
        <v>830</v>
      </c>
      <c r="U292" t="s">
        <v>830</v>
      </c>
      <c r="W292" t="s">
        <v>1731</v>
      </c>
      <c r="X292" t="s">
        <v>3315</v>
      </c>
      <c r="Y292" t="s">
        <v>830</v>
      </c>
      <c r="Z292">
        <v>1</v>
      </c>
      <c r="AA292">
        <v>1458</v>
      </c>
      <c r="AB292">
        <v>20</v>
      </c>
      <c r="AC292" t="str">
        <f t="shared" si="22"/>
        <v/>
      </c>
      <c r="AE292" t="str">
        <f t="shared" si="23"/>
        <v/>
      </c>
      <c r="AI292" t="str">
        <f t="shared" si="24"/>
        <v/>
      </c>
      <c r="AJ292" t="str">
        <f t="shared" si="25"/>
        <v/>
      </c>
      <c r="AN292" t="str">
        <f>IF(AM292&lt;&gt;"",CONCATENATE(AC292," &amp; ",SUBSTITUTE(AJ292,","," ")," &amp; ",SUBSTITUTE(AF292,"."," ")," &amp; ",AL292," &amp; ",AM292," \\"),"")</f>
        <v/>
      </c>
    </row>
    <row r="293" spans="1:40" x14ac:dyDescent="0.2">
      <c r="A293" t="s">
        <v>492</v>
      </c>
      <c r="B293" t="s">
        <v>493</v>
      </c>
      <c r="C293">
        <v>11</v>
      </c>
      <c r="D293" t="s">
        <v>1735</v>
      </c>
      <c r="E293" s="4" t="s">
        <v>1746</v>
      </c>
      <c r="F293" t="s">
        <v>8</v>
      </c>
      <c r="G293" t="s">
        <v>496</v>
      </c>
      <c r="H293" t="s">
        <v>830</v>
      </c>
      <c r="I293" t="s">
        <v>1543</v>
      </c>
      <c r="J293" t="s">
        <v>1737</v>
      </c>
      <c r="K293" t="s">
        <v>898</v>
      </c>
      <c r="L293" t="s">
        <v>1745</v>
      </c>
      <c r="M293" t="s">
        <v>2597</v>
      </c>
      <c r="N293">
        <v>2012</v>
      </c>
      <c r="O293" t="s">
        <v>830</v>
      </c>
      <c r="P293" t="s">
        <v>1742</v>
      </c>
      <c r="Q293" t="s">
        <v>830</v>
      </c>
      <c r="T293" t="s">
        <v>830</v>
      </c>
      <c r="U293" t="s">
        <v>830</v>
      </c>
      <c r="W293" t="s">
        <v>1731</v>
      </c>
      <c r="X293" t="s">
        <v>1748</v>
      </c>
      <c r="Y293" t="s">
        <v>830</v>
      </c>
      <c r="Z293">
        <v>1</v>
      </c>
      <c r="AA293">
        <v>15</v>
      </c>
      <c r="AB293">
        <v>13.228999999999999</v>
      </c>
      <c r="AC293" t="str">
        <f t="shared" si="22"/>
        <v>PHGLOL</v>
      </c>
      <c r="AD293" t="s">
        <v>3277</v>
      </c>
      <c r="AE293" t="str">
        <f t="shared" si="23"/>
        <v>Phloroglucinol</v>
      </c>
      <c r="AF293" t="str">
        <f>AE293</f>
        <v>Phloroglucinol</v>
      </c>
      <c r="AG293" s="15" t="s">
        <v>3079</v>
      </c>
      <c r="AH293" t="s">
        <v>2888</v>
      </c>
      <c r="AI293" t="str">
        <f t="shared" si="24"/>
        <v>CSD,version,5.45</v>
      </c>
      <c r="AJ293" t="str">
        <f t="shared" si="25"/>
        <v>C6,H6,O3</v>
      </c>
      <c r="AL293">
        <v>1</v>
      </c>
      <c r="AM293">
        <v>4</v>
      </c>
      <c r="AN293" t="str">
        <f>IF(AM293&lt;&gt;"",CONCATENATE(AC293," &amp; \ce{",SUBSTITUTE(AJ293,","," "),"} &amp; ",SUBSTITUTE(AF293,"."," ")," &amp; ",AL293," &amp; ",AM293," \\"),"")</f>
        <v>PHGLOL &amp; \ce{C6 H6 O3} &amp; Phloroglucinol &amp; 1 &amp; 4 \\</v>
      </c>
    </row>
    <row r="294" spans="1:40" s="8" customFormat="1" x14ac:dyDescent="0.2">
      <c r="A294" t="s">
        <v>492</v>
      </c>
      <c r="B294" t="s">
        <v>493</v>
      </c>
      <c r="C294">
        <v>12</v>
      </c>
      <c r="D294" t="s">
        <v>1735</v>
      </c>
      <c r="E294" s="4" t="s">
        <v>1746</v>
      </c>
      <c r="F294" t="s">
        <v>8</v>
      </c>
      <c r="G294" t="s">
        <v>496</v>
      </c>
      <c r="H294" t="s">
        <v>830</v>
      </c>
      <c r="I294" t="s">
        <v>1543</v>
      </c>
      <c r="J294" t="s">
        <v>1738</v>
      </c>
      <c r="K294" t="s">
        <v>839</v>
      </c>
      <c r="L294" t="s">
        <v>1554</v>
      </c>
      <c r="M294" t="s">
        <v>896</v>
      </c>
      <c r="N294">
        <v>2024</v>
      </c>
      <c r="O294" t="s">
        <v>830</v>
      </c>
      <c r="P294" t="s">
        <v>896</v>
      </c>
      <c r="Q294" t="s">
        <v>830</v>
      </c>
      <c r="R294"/>
      <c r="S294"/>
      <c r="T294" t="s">
        <v>830</v>
      </c>
      <c r="U294" t="s">
        <v>830</v>
      </c>
      <c r="V294"/>
      <c r="W294" t="s">
        <v>1731</v>
      </c>
      <c r="X294" t="s">
        <v>1749</v>
      </c>
      <c r="Y294" t="s">
        <v>830</v>
      </c>
      <c r="Z294">
        <v>1</v>
      </c>
      <c r="AA294">
        <v>422</v>
      </c>
      <c r="AB294">
        <v>36.106000000000002</v>
      </c>
      <c r="AC294" t="str">
        <f t="shared" si="22"/>
        <v/>
      </c>
      <c r="AD294"/>
      <c r="AE294" t="str">
        <f t="shared" si="23"/>
        <v/>
      </c>
      <c r="AF294"/>
      <c r="AG294" s="15"/>
      <c r="AH294"/>
      <c r="AI294" t="str">
        <f t="shared" si="24"/>
        <v/>
      </c>
      <c r="AJ294" t="str">
        <f t="shared" si="25"/>
        <v/>
      </c>
      <c r="AK294"/>
      <c r="AL294"/>
      <c r="AM294"/>
      <c r="AN294" t="str">
        <f>IF(AM294&lt;&gt;"",CONCATENATE(AC294," &amp; ",SUBSTITUTE(AJ294,","," ")," &amp; ",SUBSTITUTE(AF294,"."," ")," &amp; ",AL294," &amp; ",AM294," \\"),"")</f>
        <v/>
      </c>
    </row>
    <row r="295" spans="1:40" s="8" customFormat="1" x14ac:dyDescent="0.2">
      <c r="A295" t="s">
        <v>492</v>
      </c>
      <c r="B295" t="s">
        <v>493</v>
      </c>
      <c r="C295">
        <v>20</v>
      </c>
      <c r="D295" t="s">
        <v>1735</v>
      </c>
      <c r="E295" s="4" t="s">
        <v>1746</v>
      </c>
      <c r="F295" t="s">
        <v>8</v>
      </c>
      <c r="G295" t="s">
        <v>496</v>
      </c>
      <c r="H295" t="s">
        <v>830</v>
      </c>
      <c r="I295" t="s">
        <v>1543</v>
      </c>
      <c r="J295" t="s">
        <v>1739</v>
      </c>
      <c r="K295" t="s">
        <v>898</v>
      </c>
      <c r="L295" t="s">
        <v>1548</v>
      </c>
      <c r="M295" t="s">
        <v>896</v>
      </c>
      <c r="N295">
        <v>2012</v>
      </c>
      <c r="O295" t="s">
        <v>830</v>
      </c>
      <c r="P295" t="s">
        <v>896</v>
      </c>
      <c r="Q295" t="s">
        <v>830</v>
      </c>
      <c r="R295"/>
      <c r="S295"/>
      <c r="T295" t="s">
        <v>830</v>
      </c>
      <c r="U295" t="s">
        <v>830</v>
      </c>
      <c r="V295"/>
      <c r="W295" t="s">
        <v>1731</v>
      </c>
      <c r="X295" t="s">
        <v>1747</v>
      </c>
      <c r="Y295" t="s">
        <v>830</v>
      </c>
      <c r="Z295">
        <v>1</v>
      </c>
      <c r="AA295">
        <v>877</v>
      </c>
      <c r="AB295">
        <v>33.856999999999999</v>
      </c>
      <c r="AC295" t="str">
        <f t="shared" si="22"/>
        <v/>
      </c>
      <c r="AD295"/>
      <c r="AE295" t="str">
        <f t="shared" si="23"/>
        <v/>
      </c>
      <c r="AF295"/>
      <c r="AG295" s="15"/>
      <c r="AH295"/>
      <c r="AI295" t="str">
        <f t="shared" si="24"/>
        <v/>
      </c>
      <c r="AJ295" t="str">
        <f t="shared" si="25"/>
        <v/>
      </c>
      <c r="AK295"/>
      <c r="AL295"/>
      <c r="AM295"/>
      <c r="AN295" t="str">
        <f>IF(AM295&lt;&gt;"",CONCATENATE(AC295," &amp; ",SUBSTITUTE(AJ295,","," ")," &amp; ",SUBSTITUTE(AF295,"."," ")," &amp; ",AL295," &amp; ",AM295," \\"),"")</f>
        <v/>
      </c>
    </row>
    <row r="296" spans="1:40" x14ac:dyDescent="0.2">
      <c r="A296" t="s">
        <v>492</v>
      </c>
      <c r="B296" t="s">
        <v>493</v>
      </c>
      <c r="C296">
        <v>30</v>
      </c>
      <c r="D296" t="s">
        <v>1735</v>
      </c>
      <c r="E296" s="4" t="s">
        <v>1746</v>
      </c>
      <c r="F296" t="s">
        <v>8</v>
      </c>
      <c r="G296" t="s">
        <v>496</v>
      </c>
      <c r="H296" t="s">
        <v>830</v>
      </c>
      <c r="I296" t="s">
        <v>1543</v>
      </c>
      <c r="J296" t="s">
        <v>1740</v>
      </c>
      <c r="K296" t="s">
        <v>839</v>
      </c>
      <c r="L296" t="s">
        <v>1556</v>
      </c>
      <c r="M296" t="s">
        <v>896</v>
      </c>
      <c r="N296">
        <v>2024</v>
      </c>
      <c r="O296" t="s">
        <v>830</v>
      </c>
      <c r="P296" t="s">
        <v>896</v>
      </c>
      <c r="Q296" t="s">
        <v>830</v>
      </c>
      <c r="T296" t="s">
        <v>830</v>
      </c>
      <c r="U296" t="s">
        <v>830</v>
      </c>
      <c r="W296" t="s">
        <v>1731</v>
      </c>
      <c r="X296" t="s">
        <v>1750</v>
      </c>
      <c r="Y296" t="s">
        <v>830</v>
      </c>
      <c r="Z296">
        <v>1</v>
      </c>
      <c r="AA296">
        <v>422</v>
      </c>
      <c r="AB296">
        <v>36.631999999999998</v>
      </c>
      <c r="AC296" t="str">
        <f t="shared" si="22"/>
        <v/>
      </c>
      <c r="AE296" t="str">
        <f t="shared" si="23"/>
        <v/>
      </c>
      <c r="AI296" t="str">
        <f t="shared" si="24"/>
        <v/>
      </c>
      <c r="AJ296" t="str">
        <f t="shared" si="25"/>
        <v/>
      </c>
      <c r="AK296" s="8"/>
      <c r="AL296" s="8"/>
      <c r="AM296" s="8"/>
      <c r="AN296" t="str">
        <f>IF(AM296&lt;&gt;"",CONCATENATE(AC296," &amp; ",SUBSTITUTE(AJ296,","," ")," &amp; ",SUBSTITUTE(AF296,"."," ")," &amp; ",AL296," &amp; ",AM296," \\"),"")</f>
        <v/>
      </c>
    </row>
    <row r="297" spans="1:40" s="8" customFormat="1" x14ac:dyDescent="0.2">
      <c r="A297" s="8" t="s">
        <v>492</v>
      </c>
      <c r="B297" s="8" t="s">
        <v>493</v>
      </c>
      <c r="C297" s="8">
        <v>0</v>
      </c>
      <c r="D297" s="8" t="s">
        <v>1735</v>
      </c>
      <c r="E297" s="8" t="s">
        <v>494</v>
      </c>
      <c r="F297" s="8" t="s">
        <v>495</v>
      </c>
      <c r="G297" s="8" t="s">
        <v>492</v>
      </c>
      <c r="H297" t="s">
        <v>2506</v>
      </c>
      <c r="I297"/>
      <c r="J297"/>
      <c r="K297" t="s">
        <v>898</v>
      </c>
      <c r="L297" t="s">
        <v>1549</v>
      </c>
      <c r="M297" t="s">
        <v>896</v>
      </c>
      <c r="N297">
        <v>2012</v>
      </c>
      <c r="O297"/>
      <c r="P297"/>
      <c r="Q297"/>
      <c r="R297"/>
      <c r="S297"/>
      <c r="T297" t="s">
        <v>1598</v>
      </c>
      <c r="U297"/>
      <c r="V297"/>
      <c r="W297" t="s">
        <v>1731</v>
      </c>
      <c r="X297" t="s">
        <v>1649</v>
      </c>
      <c r="Y297" t="s">
        <v>1598</v>
      </c>
      <c r="Z297"/>
      <c r="AA297" s="8">
        <v>67</v>
      </c>
      <c r="AB297" s="8">
        <v>18.786999999999999</v>
      </c>
      <c r="AC297" t="str">
        <f t="shared" si="22"/>
        <v/>
      </c>
      <c r="AD297"/>
      <c r="AE297" t="str">
        <f t="shared" si="23"/>
        <v/>
      </c>
      <c r="AF297"/>
      <c r="AG297" s="15"/>
      <c r="AH297"/>
      <c r="AI297" t="str">
        <f t="shared" si="24"/>
        <v/>
      </c>
      <c r="AJ297" t="str">
        <f t="shared" si="25"/>
        <v/>
      </c>
      <c r="AN297" t="str">
        <f>IF(AM297&lt;&gt;"",CONCATENATE(AC297," &amp; ",SUBSTITUTE(AJ297,","," ")," &amp; ",SUBSTITUTE(AF297,"."," ")," &amp; ",AL297," &amp; ",AM297," \\"),"")</f>
        <v/>
      </c>
    </row>
    <row r="298" spans="1:40" x14ac:dyDescent="0.2">
      <c r="A298" s="8" t="s">
        <v>492</v>
      </c>
      <c r="B298" s="8" t="s">
        <v>493</v>
      </c>
      <c r="C298" s="8">
        <v>10</v>
      </c>
      <c r="D298" s="8" t="s">
        <v>1735</v>
      </c>
      <c r="E298" s="8" t="s">
        <v>494</v>
      </c>
      <c r="F298" s="8" t="s">
        <v>495</v>
      </c>
      <c r="G298" s="8" t="s">
        <v>496</v>
      </c>
      <c r="H298" t="s">
        <v>2508</v>
      </c>
      <c r="I298" t="s">
        <v>1543</v>
      </c>
      <c r="J298" t="s">
        <v>1736</v>
      </c>
      <c r="K298" t="s">
        <v>898</v>
      </c>
      <c r="L298" t="s">
        <v>1550</v>
      </c>
      <c r="M298" t="s">
        <v>896</v>
      </c>
      <c r="N298">
        <v>2012</v>
      </c>
      <c r="T298" t="s">
        <v>1598</v>
      </c>
      <c r="W298" t="s">
        <v>1731</v>
      </c>
      <c r="X298" t="s">
        <v>1649</v>
      </c>
      <c r="Y298" t="s">
        <v>1598</v>
      </c>
      <c r="AA298" s="8">
        <v>9</v>
      </c>
      <c r="AB298" s="8">
        <v>12.654</v>
      </c>
      <c r="AC298" t="str">
        <f t="shared" si="22"/>
        <v/>
      </c>
      <c r="AE298" t="str">
        <f t="shared" si="23"/>
        <v/>
      </c>
      <c r="AI298" t="str">
        <f t="shared" si="24"/>
        <v/>
      </c>
      <c r="AJ298" t="str">
        <f t="shared" si="25"/>
        <v/>
      </c>
      <c r="AN298" t="str">
        <f>IF(AM298&lt;&gt;"",CONCATENATE(AC298," &amp; ",SUBSTITUTE(AJ298,","," ")," &amp; ",SUBSTITUTE(AF298,"."," ")," &amp; ",AL298," &amp; ",AM298," \\"),"")</f>
        <v/>
      </c>
    </row>
    <row r="299" spans="1:40" x14ac:dyDescent="0.2">
      <c r="A299" s="4" t="s">
        <v>834</v>
      </c>
      <c r="B299" t="s">
        <v>657</v>
      </c>
      <c r="C299">
        <v>10</v>
      </c>
      <c r="D299" t="s">
        <v>658</v>
      </c>
      <c r="E299" t="s">
        <v>659</v>
      </c>
      <c r="F299" t="s">
        <v>660</v>
      </c>
      <c r="G299" t="s">
        <v>834</v>
      </c>
      <c r="H299" t="s">
        <v>830</v>
      </c>
      <c r="I299" t="s">
        <v>2385</v>
      </c>
      <c r="J299" t="s">
        <v>1334</v>
      </c>
      <c r="K299" t="s">
        <v>866</v>
      </c>
      <c r="L299" t="s">
        <v>2570</v>
      </c>
      <c r="M299" t="s">
        <v>867</v>
      </c>
      <c r="N299">
        <v>2017</v>
      </c>
      <c r="O299" t="s">
        <v>830</v>
      </c>
      <c r="P299" t="s">
        <v>2569</v>
      </c>
      <c r="Q299" t="s">
        <v>830</v>
      </c>
      <c r="T299" t="s">
        <v>830</v>
      </c>
      <c r="U299" t="s">
        <v>830</v>
      </c>
      <c r="W299" t="s">
        <v>2526</v>
      </c>
      <c r="X299" t="s">
        <v>2571</v>
      </c>
      <c r="Y299" t="s">
        <v>830</v>
      </c>
      <c r="Z299">
        <v>1</v>
      </c>
      <c r="AA299">
        <v>3207</v>
      </c>
      <c r="AB299">
        <v>30.478000000000002</v>
      </c>
      <c r="AC299" t="str">
        <f t="shared" si="22"/>
        <v>PIPHOO</v>
      </c>
      <c r="AD299" t="s">
        <v>3304</v>
      </c>
      <c r="AE299" t="str">
        <f t="shared" si="23"/>
        <v>Estradiol</v>
      </c>
      <c r="AF299" t="str">
        <f>AE299</f>
        <v>Estradiol</v>
      </c>
      <c r="AG299" s="15" t="s">
        <v>2889</v>
      </c>
      <c r="AH299" t="s">
        <v>2884</v>
      </c>
      <c r="AI299" t="str">
        <f t="shared" si="24"/>
        <v>CSD,version,6.01,with,Feb,2026,update</v>
      </c>
      <c r="AJ299" t="str">
        <f t="shared" si="25"/>
        <v>C18,H24,O2</v>
      </c>
      <c r="AL299">
        <v>1</v>
      </c>
      <c r="AM299">
        <v>1</v>
      </c>
      <c r="AN299" t="str">
        <f>IF(AM299&lt;&gt;"",CONCATENATE(AC299," &amp; \ce{",SUBSTITUTE(AJ299,","," "),"} &amp; ",SUBSTITUTE(AF299,"."," ")," &amp; ",AL299," &amp; ",AM299," \\"),"")</f>
        <v>PIPHOO &amp; \ce{C18 H24 O2} &amp; Estradiol &amp; 1 &amp; 1 \\</v>
      </c>
    </row>
    <row r="300" spans="1:40" x14ac:dyDescent="0.2">
      <c r="A300" s="8" t="s">
        <v>497</v>
      </c>
      <c r="B300" s="8" t="s">
        <v>3029</v>
      </c>
      <c r="C300" s="8">
        <v>0</v>
      </c>
      <c r="D300" s="8" t="s">
        <v>498</v>
      </c>
      <c r="E300" s="8" t="s">
        <v>498</v>
      </c>
      <c r="F300" s="8" t="s">
        <v>8</v>
      </c>
      <c r="G300" s="8" t="s">
        <v>499</v>
      </c>
      <c r="H300" s="8" t="s">
        <v>2866</v>
      </c>
      <c r="I300" s="8"/>
      <c r="J300" s="8" t="s">
        <v>2352</v>
      </c>
      <c r="K300" s="8" t="s">
        <v>2368</v>
      </c>
      <c r="L300" s="8"/>
      <c r="M300" s="8" t="s">
        <v>876</v>
      </c>
      <c r="N300" s="8"/>
      <c r="O300" s="8"/>
      <c r="P300" s="8"/>
      <c r="Q300" s="8"/>
      <c r="R300" s="8"/>
      <c r="S300" s="8"/>
      <c r="T300" s="8" t="s">
        <v>1598</v>
      </c>
      <c r="U300" s="8"/>
      <c r="V300" s="8"/>
      <c r="W300" s="8"/>
      <c r="X300" s="8"/>
      <c r="Y300" s="8"/>
      <c r="Z300" s="8"/>
      <c r="AA300" s="8">
        <v>48</v>
      </c>
      <c r="AB300" s="8">
        <v>22.8</v>
      </c>
      <c r="AC300" t="str">
        <f t="shared" si="22"/>
        <v/>
      </c>
      <c r="AE300" t="str">
        <f t="shared" si="23"/>
        <v/>
      </c>
      <c r="AI300" t="str">
        <f t="shared" si="24"/>
        <v/>
      </c>
      <c r="AJ300" t="str">
        <f t="shared" si="25"/>
        <v/>
      </c>
      <c r="AK300" s="8"/>
      <c r="AL300" s="8"/>
      <c r="AM300" s="8"/>
      <c r="AN300" t="str">
        <f>IF(AM300&lt;&gt;"",CONCATENATE(AC300," &amp; ",SUBSTITUTE(AJ300,","," ")," &amp; ",SUBSTITUTE(AF300,"."," ")," &amp; ",AL300," &amp; ",AM300," \\"),"")</f>
        <v/>
      </c>
    </row>
    <row r="301" spans="1:40" ht="12.75" customHeight="1" x14ac:dyDescent="0.2">
      <c r="A301" t="s">
        <v>500</v>
      </c>
      <c r="B301" t="s">
        <v>501</v>
      </c>
      <c r="C301">
        <v>0</v>
      </c>
      <c r="D301" t="s">
        <v>502</v>
      </c>
      <c r="E301" t="s">
        <v>502</v>
      </c>
      <c r="F301" t="s">
        <v>8</v>
      </c>
      <c r="G301" s="4" t="s">
        <v>2633</v>
      </c>
      <c r="H301" s="4" t="s">
        <v>830</v>
      </c>
      <c r="I301" t="s">
        <v>2385</v>
      </c>
      <c r="J301" t="s">
        <v>1226</v>
      </c>
      <c r="K301" t="s">
        <v>1668</v>
      </c>
      <c r="L301" t="s">
        <v>1553</v>
      </c>
      <c r="M301" t="s">
        <v>2627</v>
      </c>
      <c r="N301">
        <v>2005</v>
      </c>
      <c r="O301" t="s">
        <v>830</v>
      </c>
      <c r="P301" t="s">
        <v>2632</v>
      </c>
      <c r="Q301" t="s">
        <v>830</v>
      </c>
      <c r="T301" s="4" t="s">
        <v>830</v>
      </c>
      <c r="U301" s="4" t="s">
        <v>830</v>
      </c>
      <c r="W301" s="4" t="s">
        <v>2581</v>
      </c>
      <c r="X301" t="s">
        <v>2634</v>
      </c>
      <c r="Y301" t="s">
        <v>830</v>
      </c>
      <c r="Z301">
        <v>3</v>
      </c>
      <c r="AA301">
        <v>149</v>
      </c>
      <c r="AB301">
        <v>15</v>
      </c>
      <c r="AC301" t="str">
        <f t="shared" si="22"/>
        <v>PROGST</v>
      </c>
      <c r="AD301" t="s">
        <v>502</v>
      </c>
      <c r="AE301" t="str">
        <f t="shared" si="23"/>
        <v>Progesterone</v>
      </c>
      <c r="AF301" t="str">
        <f>AE301</f>
        <v>Progesterone</v>
      </c>
      <c r="AG301" s="15" t="s">
        <v>2889</v>
      </c>
      <c r="AH301" t="s">
        <v>3066</v>
      </c>
      <c r="AI301" t="str">
        <f t="shared" si="24"/>
        <v>CSD,version,6.01,with,Feb,2026,update</v>
      </c>
      <c r="AJ301" t="str">
        <f t="shared" si="25"/>
        <v>C21,H30,O2</v>
      </c>
      <c r="AL301">
        <v>2</v>
      </c>
      <c r="AM301">
        <v>4</v>
      </c>
      <c r="AN301" t="str">
        <f>IF(AM301&lt;&gt;"",CONCATENATE(AC301," &amp; \ce{",SUBSTITUTE(AJ301,","," "),"} &amp; ",SUBSTITUTE(AF301,"."," ")," &amp; ",AL301," &amp; ",AM301," \\"),"")</f>
        <v>PROGST &amp; \ce{C21 H30 O2} &amp; Progesterone &amp; 2 &amp; 4 \\</v>
      </c>
    </row>
    <row r="302" spans="1:40" ht="12.75" customHeight="1" x14ac:dyDescent="0.2">
      <c r="A302" t="s">
        <v>500</v>
      </c>
      <c r="B302" t="s">
        <v>501</v>
      </c>
      <c r="C302">
        <v>10</v>
      </c>
      <c r="D302" t="s">
        <v>502</v>
      </c>
      <c r="E302" t="s">
        <v>502</v>
      </c>
      <c r="F302" t="s">
        <v>8</v>
      </c>
      <c r="G302" s="4" t="s">
        <v>2633</v>
      </c>
      <c r="H302" s="4" t="s">
        <v>830</v>
      </c>
      <c r="I302" t="s">
        <v>2385</v>
      </c>
      <c r="J302" t="s">
        <v>1227</v>
      </c>
      <c r="K302" s="4" t="s">
        <v>1668</v>
      </c>
      <c r="L302" t="s">
        <v>1663</v>
      </c>
      <c r="M302" s="4" t="s">
        <v>881</v>
      </c>
      <c r="N302">
        <v>2005</v>
      </c>
      <c r="O302" t="s">
        <v>830</v>
      </c>
      <c r="P302" t="s">
        <v>881</v>
      </c>
      <c r="Q302" t="s">
        <v>830</v>
      </c>
      <c r="S302" t="s">
        <v>943</v>
      </c>
      <c r="T302" s="4" t="s">
        <v>830</v>
      </c>
      <c r="U302" s="4" t="s">
        <v>830</v>
      </c>
      <c r="W302" s="4" t="s">
        <v>2581</v>
      </c>
      <c r="X302" s="4" t="s">
        <v>2636</v>
      </c>
      <c r="Y302" s="4" t="s">
        <v>830</v>
      </c>
      <c r="Z302">
        <v>3</v>
      </c>
      <c r="AA302">
        <v>10</v>
      </c>
      <c r="AB302">
        <v>15</v>
      </c>
      <c r="AC302" t="str">
        <f t="shared" si="22"/>
        <v/>
      </c>
      <c r="AE302" t="str">
        <f t="shared" si="23"/>
        <v/>
      </c>
      <c r="AI302" t="str">
        <f t="shared" si="24"/>
        <v/>
      </c>
      <c r="AJ302" t="str">
        <f t="shared" si="25"/>
        <v/>
      </c>
      <c r="AN302" t="str">
        <f>IF(AM302&lt;&gt;"",CONCATENATE(AC302," &amp; ",SUBSTITUTE(AJ302,","," ")," &amp; ",SUBSTITUTE(AF302,"."," ")," &amp; ",AL302," &amp; ",AM302," \\"),"")</f>
        <v/>
      </c>
    </row>
    <row r="303" spans="1:40" x14ac:dyDescent="0.2">
      <c r="A303" t="s">
        <v>500</v>
      </c>
      <c r="B303" t="s">
        <v>501</v>
      </c>
      <c r="C303">
        <v>11</v>
      </c>
      <c r="D303" t="s">
        <v>502</v>
      </c>
      <c r="E303" t="s">
        <v>502</v>
      </c>
      <c r="F303" t="s">
        <v>8</v>
      </c>
      <c r="G303" s="4" t="s">
        <v>2633</v>
      </c>
      <c r="H303" s="4" t="s">
        <v>830</v>
      </c>
      <c r="I303" t="s">
        <v>2385</v>
      </c>
      <c r="J303" t="s">
        <v>1230</v>
      </c>
      <c r="K303" t="s">
        <v>1668</v>
      </c>
      <c r="L303" s="4" t="s">
        <v>2631</v>
      </c>
      <c r="M303" s="4" t="s">
        <v>877</v>
      </c>
      <c r="N303">
        <v>2009</v>
      </c>
      <c r="O303" t="s">
        <v>830</v>
      </c>
      <c r="P303" t="s">
        <v>881</v>
      </c>
      <c r="Q303" t="s">
        <v>830</v>
      </c>
      <c r="T303" s="4" t="s">
        <v>830</v>
      </c>
      <c r="U303" s="4" t="s">
        <v>830</v>
      </c>
      <c r="W303" s="4" t="s">
        <v>2581</v>
      </c>
      <c r="X303" s="4" t="s">
        <v>2637</v>
      </c>
      <c r="Y303" s="4" t="s">
        <v>830</v>
      </c>
      <c r="Z303" s="4">
        <v>2</v>
      </c>
      <c r="AA303">
        <v>10</v>
      </c>
      <c r="AB303">
        <v>10.879</v>
      </c>
      <c r="AC303" t="str">
        <f t="shared" si="22"/>
        <v/>
      </c>
      <c r="AE303" t="str">
        <f t="shared" si="23"/>
        <v/>
      </c>
      <c r="AI303" t="str">
        <f t="shared" si="24"/>
        <v/>
      </c>
      <c r="AJ303" t="str">
        <f t="shared" si="25"/>
        <v/>
      </c>
      <c r="AN303" t="str">
        <f>IF(AM303&lt;&gt;"",CONCATENATE(AC303," &amp; ",SUBSTITUTE(AJ303,","," ")," &amp; ",SUBSTITUTE(AF303,"."," ")," &amp; ",AL303," &amp; ",AM303," \\"),"")</f>
        <v/>
      </c>
    </row>
    <row r="304" spans="1:40" x14ac:dyDescent="0.2">
      <c r="A304" t="s">
        <v>500</v>
      </c>
      <c r="B304" t="s">
        <v>501</v>
      </c>
      <c r="C304">
        <v>20</v>
      </c>
      <c r="D304" t="s">
        <v>502</v>
      </c>
      <c r="E304" t="s">
        <v>502</v>
      </c>
      <c r="F304" t="s">
        <v>8</v>
      </c>
      <c r="G304" s="4" t="s">
        <v>2633</v>
      </c>
      <c r="H304" s="4" t="s">
        <v>830</v>
      </c>
      <c r="I304" t="s">
        <v>2385</v>
      </c>
      <c r="J304" t="s">
        <v>1231</v>
      </c>
      <c r="K304" t="s">
        <v>1668</v>
      </c>
      <c r="L304" t="s">
        <v>2630</v>
      </c>
      <c r="M304" t="s">
        <v>2628</v>
      </c>
      <c r="N304">
        <v>2009</v>
      </c>
      <c r="O304" t="s">
        <v>830</v>
      </c>
      <c r="P304" t="s">
        <v>881</v>
      </c>
      <c r="Q304" t="s">
        <v>830</v>
      </c>
      <c r="T304" s="4" t="s">
        <v>830</v>
      </c>
      <c r="U304" s="4" t="s">
        <v>830</v>
      </c>
      <c r="W304" s="4" t="s">
        <v>2581</v>
      </c>
      <c r="X304" s="4" t="s">
        <v>2635</v>
      </c>
      <c r="Y304" s="4" t="s">
        <v>830</v>
      </c>
      <c r="Z304" s="4">
        <v>2</v>
      </c>
      <c r="AA304">
        <v>882</v>
      </c>
      <c r="AB304">
        <v>25</v>
      </c>
      <c r="AC304" t="str">
        <f t="shared" si="22"/>
        <v/>
      </c>
      <c r="AE304" t="str">
        <f t="shared" si="23"/>
        <v/>
      </c>
      <c r="AI304" t="str">
        <f t="shared" si="24"/>
        <v/>
      </c>
      <c r="AJ304" t="str">
        <f t="shared" si="25"/>
        <v/>
      </c>
      <c r="AN304" t="str">
        <f>IF(AM304&lt;&gt;"",CONCATENATE(AC304," &amp; ",SUBSTITUTE(AJ304,","," ")," &amp; ",SUBSTITUTE(AF304,"."," ")," &amp; ",AL304," &amp; ",AM304," \\"),"")</f>
        <v/>
      </c>
    </row>
    <row r="305" spans="1:40" s="8" customFormat="1" x14ac:dyDescent="0.2">
      <c r="A305" t="s">
        <v>503</v>
      </c>
      <c r="B305" t="s">
        <v>504</v>
      </c>
      <c r="C305">
        <v>0</v>
      </c>
      <c r="D305" t="s">
        <v>505</v>
      </c>
      <c r="E305" t="s">
        <v>505</v>
      </c>
      <c r="F305" t="s">
        <v>505</v>
      </c>
      <c r="G305" t="s">
        <v>2717</v>
      </c>
      <c r="H305" t="s">
        <v>830</v>
      </c>
      <c r="I305" t="s">
        <v>2385</v>
      </c>
      <c r="J305" t="s">
        <v>1424</v>
      </c>
      <c r="K305" t="s">
        <v>868</v>
      </c>
      <c r="L305" t="s">
        <v>2715</v>
      </c>
      <c r="M305" t="s">
        <v>2720</v>
      </c>
      <c r="N305" s="5" t="s">
        <v>2719</v>
      </c>
      <c r="O305" t="s">
        <v>830</v>
      </c>
      <c r="P305" t="s">
        <v>2720</v>
      </c>
      <c r="Q305" t="s">
        <v>830</v>
      </c>
      <c r="R305"/>
      <c r="S305"/>
      <c r="T305" t="s">
        <v>830</v>
      </c>
      <c r="U305" t="s">
        <v>830</v>
      </c>
      <c r="V305"/>
      <c r="W305" t="s">
        <v>2692</v>
      </c>
      <c r="X305" t="s">
        <v>2724</v>
      </c>
      <c r="Y305" t="s">
        <v>830</v>
      </c>
      <c r="Z305">
        <v>3</v>
      </c>
      <c r="AA305">
        <v>103</v>
      </c>
      <c r="AB305">
        <v>3.4</v>
      </c>
      <c r="AC305" t="str">
        <f t="shared" si="22"/>
        <v>PYRDNA</v>
      </c>
      <c r="AD305" t="s">
        <v>505</v>
      </c>
      <c r="AE305" t="str">
        <f t="shared" si="23"/>
        <v>Pyridine</v>
      </c>
      <c r="AF305" t="str">
        <f>AE305</f>
        <v>Pyridine</v>
      </c>
      <c r="AG305" s="15" t="s">
        <v>3132</v>
      </c>
      <c r="AH305" t="s">
        <v>2884</v>
      </c>
      <c r="AI305" t="str">
        <f t="shared" si="24"/>
        <v>CSD,version,6.01,with,Feb,2026,update</v>
      </c>
      <c r="AJ305" t="str">
        <f t="shared" si="25"/>
        <v>C5,H5,N1</v>
      </c>
      <c r="AK305"/>
      <c r="AL305">
        <v>1</v>
      </c>
      <c r="AM305">
        <v>3</v>
      </c>
      <c r="AN305" t="str">
        <f>IF(AM305&lt;&gt;"",CONCATENATE(AC305," &amp; \ce{",SUBSTITUTE(AJ305,","," "),"} &amp; ",SUBSTITUTE(AF305,"."," ")," &amp; ",AL305," &amp; ",AM305," \\"),"")</f>
        <v>PYRDNA &amp; \ce{C5 H5 N1} &amp; Pyridine &amp; 1 &amp; 3 \\</v>
      </c>
    </row>
    <row r="306" spans="1:40" x14ac:dyDescent="0.2">
      <c r="A306" t="s">
        <v>503</v>
      </c>
      <c r="B306" t="s">
        <v>504</v>
      </c>
      <c r="C306">
        <v>1</v>
      </c>
      <c r="D306" t="s">
        <v>505</v>
      </c>
      <c r="E306" t="s">
        <v>505</v>
      </c>
      <c r="F306" t="s">
        <v>505</v>
      </c>
      <c r="G306" t="s">
        <v>2717</v>
      </c>
      <c r="H306" t="s">
        <v>830</v>
      </c>
      <c r="I306" t="s">
        <v>2385</v>
      </c>
      <c r="J306" t="s">
        <v>2713</v>
      </c>
      <c r="K306" t="s">
        <v>868</v>
      </c>
      <c r="L306" t="s">
        <v>2716</v>
      </c>
      <c r="M306" t="s">
        <v>2720</v>
      </c>
      <c r="N306" s="5" t="s">
        <v>2719</v>
      </c>
      <c r="O306" t="s">
        <v>830</v>
      </c>
      <c r="P306" t="s">
        <v>2720</v>
      </c>
      <c r="Q306" t="s">
        <v>830</v>
      </c>
      <c r="T306" t="s">
        <v>830</v>
      </c>
      <c r="U306" t="s">
        <v>830</v>
      </c>
      <c r="W306" t="s">
        <v>2692</v>
      </c>
      <c r="X306" t="s">
        <v>2723</v>
      </c>
      <c r="Y306" t="s">
        <v>830</v>
      </c>
      <c r="Z306">
        <v>3</v>
      </c>
      <c r="AA306">
        <v>103</v>
      </c>
      <c r="AB306">
        <v>7.7</v>
      </c>
      <c r="AC306" t="str">
        <f t="shared" si="22"/>
        <v/>
      </c>
      <c r="AE306" t="str">
        <f t="shared" si="23"/>
        <v/>
      </c>
      <c r="AI306" t="str">
        <f t="shared" si="24"/>
        <v/>
      </c>
      <c r="AJ306" t="str">
        <f t="shared" si="25"/>
        <v/>
      </c>
      <c r="AN306" t="str">
        <f>IF(AM306&lt;&gt;"",CONCATENATE(AC306," &amp; ",SUBSTITUTE(AJ306,","," ")," &amp; ",SUBSTITUTE(AF306,"."," ")," &amp; ",AL306," &amp; ",AM306," \\"),"")</f>
        <v/>
      </c>
    </row>
    <row r="307" spans="1:40" x14ac:dyDescent="0.2">
      <c r="A307" t="s">
        <v>503</v>
      </c>
      <c r="B307" t="s">
        <v>504</v>
      </c>
      <c r="C307">
        <v>2</v>
      </c>
      <c r="D307" t="s">
        <v>505</v>
      </c>
      <c r="E307" t="s">
        <v>505</v>
      </c>
      <c r="F307" t="s">
        <v>505</v>
      </c>
      <c r="G307" t="s">
        <v>2717</v>
      </c>
      <c r="H307" t="s">
        <v>830</v>
      </c>
      <c r="I307" t="s">
        <v>2385</v>
      </c>
      <c r="J307" t="s">
        <v>2712</v>
      </c>
      <c r="K307" t="s">
        <v>868</v>
      </c>
      <c r="L307" t="s">
        <v>2716</v>
      </c>
      <c r="M307" s="13" t="s">
        <v>2721</v>
      </c>
      <c r="N307" s="5" t="s">
        <v>2718</v>
      </c>
      <c r="O307" t="s">
        <v>830</v>
      </c>
      <c r="P307" t="s">
        <v>2698</v>
      </c>
      <c r="Q307" t="s">
        <v>830</v>
      </c>
      <c r="T307" t="s">
        <v>830</v>
      </c>
      <c r="U307" t="s">
        <v>830</v>
      </c>
      <c r="W307" t="s">
        <v>2692</v>
      </c>
      <c r="X307" t="s">
        <v>2722</v>
      </c>
      <c r="Y307" t="s">
        <v>830</v>
      </c>
      <c r="Z307">
        <v>3</v>
      </c>
      <c r="AA307">
        <v>103</v>
      </c>
      <c r="AB307">
        <v>6.45</v>
      </c>
      <c r="AC307" t="str">
        <f t="shared" si="22"/>
        <v/>
      </c>
      <c r="AE307" t="str">
        <f t="shared" si="23"/>
        <v/>
      </c>
      <c r="AI307" t="str">
        <f t="shared" si="24"/>
        <v/>
      </c>
      <c r="AJ307" t="str">
        <f t="shared" si="25"/>
        <v/>
      </c>
      <c r="AN307" t="str">
        <f>IF(AM307&lt;&gt;"",CONCATENATE(AC307," &amp; ",SUBSTITUTE(AJ307,","," ")," &amp; ",SUBSTITUTE(AF307,"."," ")," &amp; ",AL307," &amp; ",AM307," \\"),"")</f>
        <v/>
      </c>
    </row>
    <row r="308" spans="1:40" x14ac:dyDescent="0.2">
      <c r="A308" t="s">
        <v>506</v>
      </c>
      <c r="B308" t="s">
        <v>507</v>
      </c>
      <c r="C308">
        <v>10</v>
      </c>
      <c r="D308" t="s">
        <v>508</v>
      </c>
      <c r="E308" t="s">
        <v>508</v>
      </c>
      <c r="F308" t="s">
        <v>8</v>
      </c>
      <c r="G308" s="4" t="s">
        <v>2644</v>
      </c>
      <c r="H308" s="4" t="s">
        <v>830</v>
      </c>
      <c r="I308" t="s">
        <v>2385</v>
      </c>
      <c r="J308" t="s">
        <v>1232</v>
      </c>
      <c r="K308" t="s">
        <v>1668</v>
      </c>
      <c r="L308" s="4" t="s">
        <v>2646</v>
      </c>
      <c r="M308" s="4" t="s">
        <v>877</v>
      </c>
      <c r="N308">
        <v>2009</v>
      </c>
      <c r="O308" t="s">
        <v>830</v>
      </c>
      <c r="P308" s="4" t="s">
        <v>877</v>
      </c>
      <c r="Q308" s="4" t="s">
        <v>830</v>
      </c>
      <c r="T308" s="4" t="s">
        <v>830</v>
      </c>
      <c r="U308" s="4" t="s">
        <v>830</v>
      </c>
      <c r="V308" s="4"/>
      <c r="W308" t="s">
        <v>2653</v>
      </c>
      <c r="X308" s="4" t="s">
        <v>2648</v>
      </c>
      <c r="Y308" s="4" t="s">
        <v>830</v>
      </c>
      <c r="Z308">
        <v>1</v>
      </c>
      <c r="AA308">
        <v>10</v>
      </c>
      <c r="AB308">
        <v>2.0609999999999999</v>
      </c>
      <c r="AC308" t="str">
        <f t="shared" si="22"/>
        <v>PYRENE</v>
      </c>
      <c r="AD308" t="s">
        <v>508</v>
      </c>
      <c r="AE308" t="str">
        <f t="shared" si="23"/>
        <v>Pyrene</v>
      </c>
      <c r="AF308" t="str">
        <f>AE308</f>
        <v>Pyrene</v>
      </c>
      <c r="AG308" s="15" t="s">
        <v>3132</v>
      </c>
      <c r="AH308" t="s">
        <v>2884</v>
      </c>
      <c r="AI308" t="str">
        <f t="shared" si="24"/>
        <v>CSD,version,6.01,with,Feb,2026,update</v>
      </c>
      <c r="AJ308" t="str">
        <f t="shared" si="25"/>
        <v>C16,H10</v>
      </c>
      <c r="AK308" s="8"/>
      <c r="AL308" s="8">
        <v>1</v>
      </c>
      <c r="AM308" s="8">
        <v>2</v>
      </c>
      <c r="AN308" t="str">
        <f>IF(AM308&lt;&gt;"",CONCATENATE(AC308," &amp; \ce{",SUBSTITUTE(AJ308,","," "),"} &amp; ",SUBSTITUTE(AF308,"."," ")," &amp; ",AL308," &amp; ",AM308," \\"),"")</f>
        <v>PYRENE &amp; \ce{C16 H10} &amp; Pyrene &amp; 1 &amp; 2 \\</v>
      </c>
    </row>
    <row r="309" spans="1:40" x14ac:dyDescent="0.2">
      <c r="A309" t="s">
        <v>506</v>
      </c>
      <c r="B309" t="s">
        <v>507</v>
      </c>
      <c r="C309">
        <v>20</v>
      </c>
      <c r="D309" t="s">
        <v>508</v>
      </c>
      <c r="E309" t="s">
        <v>508</v>
      </c>
      <c r="F309" t="s">
        <v>8</v>
      </c>
      <c r="G309" s="4" t="s">
        <v>2644</v>
      </c>
      <c r="H309" s="4" t="s">
        <v>830</v>
      </c>
      <c r="I309" t="s">
        <v>2385</v>
      </c>
      <c r="J309" t="s">
        <v>1233</v>
      </c>
      <c r="K309" t="s">
        <v>1668</v>
      </c>
      <c r="L309" s="4" t="s">
        <v>2645</v>
      </c>
      <c r="M309" t="s">
        <v>2628</v>
      </c>
      <c r="N309">
        <v>2009</v>
      </c>
      <c r="O309" t="s">
        <v>830</v>
      </c>
      <c r="P309" t="s">
        <v>2643</v>
      </c>
      <c r="Q309" t="s">
        <v>830</v>
      </c>
      <c r="T309" s="4" t="s">
        <v>830</v>
      </c>
      <c r="U309" s="4" t="s">
        <v>830</v>
      </c>
      <c r="V309" s="4"/>
      <c r="W309" t="s">
        <v>2653</v>
      </c>
      <c r="X309" s="4" t="s">
        <v>2647</v>
      </c>
      <c r="Y309" s="4" t="s">
        <v>830</v>
      </c>
      <c r="Z309">
        <v>2</v>
      </c>
      <c r="AA309">
        <v>688</v>
      </c>
      <c r="AB309">
        <v>10</v>
      </c>
      <c r="AC309" t="str">
        <f t="shared" si="22"/>
        <v/>
      </c>
      <c r="AE309" t="str">
        <f t="shared" si="23"/>
        <v/>
      </c>
      <c r="AI309" t="str">
        <f t="shared" si="24"/>
        <v/>
      </c>
      <c r="AJ309" t="str">
        <f t="shared" si="25"/>
        <v/>
      </c>
      <c r="AN309" t="str">
        <f>IF(AM309&lt;&gt;"",CONCATENATE(AC309," &amp; ",SUBSTITUTE(AJ309,","," ")," &amp; ",SUBSTITUTE(AF309,"."," ")," &amp; ",AL309," &amp; ",AM309," \\"),"")</f>
        <v/>
      </c>
    </row>
    <row r="310" spans="1:40" s="8" customFormat="1" x14ac:dyDescent="0.2">
      <c r="A310" t="s">
        <v>509</v>
      </c>
      <c r="B310" t="s">
        <v>510</v>
      </c>
      <c r="C310">
        <v>0</v>
      </c>
      <c r="D310" t="s">
        <v>511</v>
      </c>
      <c r="E310" t="s">
        <v>512</v>
      </c>
      <c r="F310" t="s">
        <v>8</v>
      </c>
      <c r="G310" t="s">
        <v>2785</v>
      </c>
      <c r="H310" s="4" t="s">
        <v>830</v>
      </c>
      <c r="I310" t="s">
        <v>2385</v>
      </c>
      <c r="J310" t="s">
        <v>1425</v>
      </c>
      <c r="K310" t="s">
        <v>2524</v>
      </c>
      <c r="L310" t="s">
        <v>1805</v>
      </c>
      <c r="M310" t="s">
        <v>876</v>
      </c>
      <c r="N310">
        <v>2012</v>
      </c>
      <c r="O310" s="4" t="s">
        <v>830</v>
      </c>
      <c r="P310" t="s">
        <v>2803</v>
      </c>
      <c r="Q310" t="s">
        <v>830</v>
      </c>
      <c r="R310"/>
      <c r="S310"/>
      <c r="T310" t="s">
        <v>830</v>
      </c>
      <c r="U310" t="s">
        <v>830</v>
      </c>
      <c r="V310"/>
      <c r="W310" t="s">
        <v>2836</v>
      </c>
      <c r="X310" s="4" t="s">
        <v>2805</v>
      </c>
      <c r="Y310" s="4" t="s">
        <v>830</v>
      </c>
      <c r="Z310">
        <v>1</v>
      </c>
      <c r="AA310">
        <v>455</v>
      </c>
      <c r="AB310">
        <v>30</v>
      </c>
      <c r="AC310" t="str">
        <f t="shared" si="22"/>
        <v>PYRIDO</v>
      </c>
      <c r="AD310" t="s">
        <v>3278</v>
      </c>
      <c r="AE310" t="str">
        <f t="shared" si="23"/>
        <v>Pyridone</v>
      </c>
      <c r="AF310" t="str">
        <f>AE310</f>
        <v>Pyridone</v>
      </c>
      <c r="AG310" s="15" t="s">
        <v>2887</v>
      </c>
      <c r="AH310" t="s">
        <v>2897</v>
      </c>
      <c r="AI310" t="str">
        <f t="shared" si="24"/>
        <v>CSD,version,6.01,with,Feb,2026,update</v>
      </c>
      <c r="AJ310" t="str">
        <f t="shared" si="25"/>
        <v>C5,H5,N1,O1</v>
      </c>
      <c r="AK310"/>
      <c r="AL310">
        <v>2</v>
      </c>
      <c r="AM310">
        <v>2</v>
      </c>
      <c r="AN310" t="str">
        <f>IF(AM310&lt;&gt;"",CONCATENATE(AC310," &amp; \ce{",SUBSTITUTE(AJ310,","," "),"} &amp; ",SUBSTITUTE(AF310,"."," ")," &amp; ",AL310," &amp; ",AM310," \\"),"")</f>
        <v>PYRIDO &amp; \ce{C5 H5 N1 O1} &amp; Pyridone &amp; 2 &amp; 2 \\</v>
      </c>
    </row>
    <row r="311" spans="1:40" x14ac:dyDescent="0.2">
      <c r="A311" t="s">
        <v>509</v>
      </c>
      <c r="B311" t="s">
        <v>510</v>
      </c>
      <c r="C311">
        <v>1</v>
      </c>
      <c r="D311" t="s">
        <v>511</v>
      </c>
      <c r="E311" t="s">
        <v>512</v>
      </c>
      <c r="F311" t="s">
        <v>8</v>
      </c>
      <c r="G311" t="s">
        <v>2785</v>
      </c>
      <c r="H311" s="4" t="s">
        <v>830</v>
      </c>
      <c r="I311" t="s">
        <v>2385</v>
      </c>
      <c r="J311" t="s">
        <v>1426</v>
      </c>
      <c r="K311" t="s">
        <v>2524</v>
      </c>
      <c r="L311" t="s">
        <v>1805</v>
      </c>
      <c r="M311" t="s">
        <v>876</v>
      </c>
      <c r="N311">
        <v>2012</v>
      </c>
      <c r="O311" s="4" t="s">
        <v>830</v>
      </c>
      <c r="P311" t="s">
        <v>881</v>
      </c>
      <c r="Q311" t="s">
        <v>830</v>
      </c>
      <c r="T311" t="s">
        <v>830</v>
      </c>
      <c r="U311" t="s">
        <v>830</v>
      </c>
      <c r="W311" t="s">
        <v>2836</v>
      </c>
      <c r="X311" s="4" t="s">
        <v>2804</v>
      </c>
      <c r="Y311" s="4" t="s">
        <v>830</v>
      </c>
      <c r="Z311">
        <v>1</v>
      </c>
      <c r="AA311">
        <v>482</v>
      </c>
      <c r="AB311">
        <v>30</v>
      </c>
      <c r="AC311" t="str">
        <f t="shared" si="22"/>
        <v/>
      </c>
      <c r="AE311" t="str">
        <f t="shared" si="23"/>
        <v/>
      </c>
      <c r="AI311" t="str">
        <f t="shared" si="24"/>
        <v/>
      </c>
      <c r="AJ311" t="str">
        <f t="shared" si="25"/>
        <v/>
      </c>
      <c r="AN311" t="str">
        <f>IF(AM311&lt;&gt;"",CONCATENATE(AC311," &amp; ",SUBSTITUTE(AJ311,","," ")," &amp; ",SUBSTITUTE(AF311,"."," ")," &amp; ",AL311," &amp; ",AM311," \\"),"")</f>
        <v/>
      </c>
    </row>
    <row r="312" spans="1:40" s="8" customFormat="1" x14ac:dyDescent="0.2">
      <c r="A312" t="s">
        <v>513</v>
      </c>
      <c r="B312" t="s">
        <v>514</v>
      </c>
      <c r="C312">
        <v>0</v>
      </c>
      <c r="D312" t="s">
        <v>515</v>
      </c>
      <c r="E312" t="s">
        <v>516</v>
      </c>
      <c r="F312" t="s">
        <v>8</v>
      </c>
      <c r="G312" t="s">
        <v>513</v>
      </c>
      <c r="H312" t="s">
        <v>830</v>
      </c>
      <c r="I312" t="s">
        <v>2385</v>
      </c>
      <c r="J312" t="s">
        <v>1103</v>
      </c>
      <c r="K312" t="s">
        <v>838</v>
      </c>
      <c r="L312" t="s">
        <v>1558</v>
      </c>
      <c r="M312" t="s">
        <v>879</v>
      </c>
      <c r="N312">
        <v>2005</v>
      </c>
      <c r="O312" t="s">
        <v>830</v>
      </c>
      <c r="P312" t="s">
        <v>2730</v>
      </c>
      <c r="Q312" t="s">
        <v>830</v>
      </c>
      <c r="R312"/>
      <c r="S312"/>
      <c r="T312" t="s">
        <v>830</v>
      </c>
      <c r="U312" t="s">
        <v>830</v>
      </c>
      <c r="V312"/>
      <c r="W312" t="s">
        <v>2692</v>
      </c>
      <c r="X312" t="s">
        <v>2731</v>
      </c>
      <c r="Y312" t="s">
        <v>830</v>
      </c>
      <c r="Z312">
        <v>1</v>
      </c>
      <c r="AA312">
        <v>31</v>
      </c>
      <c r="AB312">
        <v>7.52</v>
      </c>
      <c r="AC312" t="str">
        <f t="shared" si="22"/>
        <v>QARVOV</v>
      </c>
      <c r="AD312" t="s">
        <v>3281</v>
      </c>
      <c r="AE312" t="str">
        <f t="shared" si="23"/>
        <v>3Oxauracil</v>
      </c>
      <c r="AF312" t="s">
        <v>515</v>
      </c>
      <c r="AG312" s="15" t="s">
        <v>3132</v>
      </c>
      <c r="AH312" t="s">
        <v>2884</v>
      </c>
      <c r="AI312" t="str">
        <f t="shared" si="24"/>
        <v>CSD,version,6.01,with,Feb,2026,update</v>
      </c>
      <c r="AJ312" t="str">
        <f t="shared" si="25"/>
        <v>C4,H3,N1,O3</v>
      </c>
      <c r="AK312"/>
      <c r="AL312">
        <v>1</v>
      </c>
      <c r="AM312">
        <v>1</v>
      </c>
      <c r="AN312" t="str">
        <f>IF(AM312&lt;&gt;"",CONCATENATE(AC312," &amp; \ce{",SUBSTITUTE(AJ312,","," "),"} &amp; ",SUBSTITUTE(AF312,"."," ")," &amp; ",AL312," &amp; ",AM312," \\"),"")</f>
        <v>QARVOV &amp; \ce{C4 H3 N1 O3} &amp; 3-Oxauracil &amp; 1 &amp; 1 \\</v>
      </c>
    </row>
    <row r="313" spans="1:40" ht="15" x14ac:dyDescent="0.25">
      <c r="A313" t="s">
        <v>517</v>
      </c>
      <c r="B313" s="17" t="s">
        <v>51</v>
      </c>
      <c r="C313">
        <v>0</v>
      </c>
      <c r="D313" t="s">
        <v>518</v>
      </c>
      <c r="E313" t="s">
        <v>519</v>
      </c>
      <c r="F313" t="s">
        <v>520</v>
      </c>
      <c r="G313" t="s">
        <v>517</v>
      </c>
      <c r="H313" t="s">
        <v>830</v>
      </c>
      <c r="I313" t="s">
        <v>1952</v>
      </c>
      <c r="J313" t="s">
        <v>1205</v>
      </c>
      <c r="K313" t="s">
        <v>838</v>
      </c>
      <c r="L313" t="s">
        <v>1558</v>
      </c>
      <c r="M313" t="s">
        <v>879</v>
      </c>
      <c r="N313">
        <v>2005</v>
      </c>
      <c r="O313" t="s">
        <v>830</v>
      </c>
      <c r="P313" t="s">
        <v>2055</v>
      </c>
      <c r="Q313" t="s">
        <v>830</v>
      </c>
      <c r="T313" t="s">
        <v>830</v>
      </c>
      <c r="U313" t="s">
        <v>830</v>
      </c>
      <c r="W313" t="s">
        <v>2034</v>
      </c>
      <c r="X313" t="s">
        <v>2069</v>
      </c>
      <c r="Y313" t="s">
        <v>830</v>
      </c>
      <c r="Z313">
        <v>1</v>
      </c>
      <c r="AA313">
        <v>62</v>
      </c>
      <c r="AB313">
        <v>27</v>
      </c>
      <c r="AC313" t="str">
        <f t="shared" ref="AC313:AC376" si="27">IF(AND(A313&lt;&gt;A312,T313="Yes"),A313,"")</f>
        <v>QARWAI</v>
      </c>
      <c r="AD313" t="s">
        <v>3182</v>
      </c>
      <c r="AE313" t="str">
        <f t="shared" si="23"/>
        <v>IsobarbituricAcid</v>
      </c>
      <c r="AF313" t="s">
        <v>3457</v>
      </c>
      <c r="AG313" s="15" t="s">
        <v>2894</v>
      </c>
      <c r="AH313" t="s">
        <v>2922</v>
      </c>
      <c r="AI313" t="str">
        <f t="shared" si="24"/>
        <v>CSD,version,6.01</v>
      </c>
      <c r="AJ313" t="str">
        <f t="shared" si="25"/>
        <v>C4,H4,N2,O3</v>
      </c>
      <c r="AK313" s="8"/>
      <c r="AL313" s="8">
        <v>2</v>
      </c>
      <c r="AM313" s="8">
        <v>2</v>
      </c>
      <c r="AN313" t="str">
        <f>IF(AM313&lt;&gt;"",CONCATENATE(AC313," &amp; \ce{",SUBSTITUTE(AJ313,","," "),"} &amp; ",SUBSTITUTE(AF313,"."," ")," &amp; ",AL313," &amp; ",AM313," \\"),"")</f>
        <v>QARWAI &amp; \ce{C4 H4 N2 O3} &amp; Isobarbituric Acid &amp; 2 &amp; 2 \\</v>
      </c>
    </row>
    <row r="314" spans="1:40" x14ac:dyDescent="0.2">
      <c r="A314" t="s">
        <v>517</v>
      </c>
      <c r="B314" t="s">
        <v>51</v>
      </c>
      <c r="C314">
        <v>1</v>
      </c>
      <c r="D314" t="s">
        <v>520</v>
      </c>
      <c r="E314" t="s">
        <v>519</v>
      </c>
      <c r="F314" t="s">
        <v>518</v>
      </c>
      <c r="G314" t="s">
        <v>517</v>
      </c>
      <c r="H314" t="s">
        <v>830</v>
      </c>
      <c r="I314" t="s">
        <v>1952</v>
      </c>
      <c r="J314" t="s">
        <v>1206</v>
      </c>
      <c r="K314" t="s">
        <v>856</v>
      </c>
      <c r="L314" t="s">
        <v>1553</v>
      </c>
      <c r="M314" t="s">
        <v>2060</v>
      </c>
      <c r="N314" t="s">
        <v>886</v>
      </c>
      <c r="O314" t="s">
        <v>830</v>
      </c>
      <c r="P314" t="s">
        <v>2055</v>
      </c>
      <c r="Q314" t="s">
        <v>830</v>
      </c>
      <c r="T314" t="s">
        <v>830</v>
      </c>
      <c r="U314" t="s">
        <v>830</v>
      </c>
      <c r="W314" t="s">
        <v>2034</v>
      </c>
      <c r="X314" t="s">
        <v>2070</v>
      </c>
      <c r="Y314" t="s">
        <v>830</v>
      </c>
      <c r="Z314">
        <v>1</v>
      </c>
      <c r="AA314">
        <v>51</v>
      </c>
      <c r="AB314">
        <v>10</v>
      </c>
      <c r="AC314" t="str">
        <f t="shared" si="27"/>
        <v/>
      </c>
      <c r="AE314" t="str">
        <f t="shared" si="23"/>
        <v/>
      </c>
      <c r="AI314" t="str">
        <f t="shared" si="24"/>
        <v/>
      </c>
      <c r="AJ314" t="str">
        <f t="shared" si="25"/>
        <v/>
      </c>
      <c r="AN314" t="str">
        <f>IF(AM314&lt;&gt;"",CONCATENATE(AC314," &amp; ",SUBSTITUTE(AJ314,","," ")," &amp; ",SUBSTITUTE(AF314,"."," ")," &amp; ",AL314," &amp; ",AM314," \\"),"")</f>
        <v/>
      </c>
    </row>
    <row r="315" spans="1:40" ht="15" x14ac:dyDescent="0.25">
      <c r="A315" t="s">
        <v>521</v>
      </c>
      <c r="B315" s="17" t="s">
        <v>3034</v>
      </c>
      <c r="C315">
        <v>10</v>
      </c>
      <c r="D315" t="s">
        <v>522</v>
      </c>
      <c r="E315" t="s">
        <v>523</v>
      </c>
      <c r="F315" t="s">
        <v>8</v>
      </c>
      <c r="G315" t="s">
        <v>2481</v>
      </c>
      <c r="H315" t="s">
        <v>830</v>
      </c>
      <c r="I315" t="s">
        <v>2385</v>
      </c>
      <c r="J315" t="s">
        <v>1269</v>
      </c>
      <c r="K315" t="s">
        <v>898</v>
      </c>
      <c r="L315" t="s">
        <v>1667</v>
      </c>
      <c r="M315" t="s">
        <v>887</v>
      </c>
      <c r="N315">
        <v>2011</v>
      </c>
      <c r="O315" t="s">
        <v>830</v>
      </c>
      <c r="P315" t="s">
        <v>2502</v>
      </c>
      <c r="Q315" t="s">
        <v>830</v>
      </c>
      <c r="T315" t="s">
        <v>830</v>
      </c>
      <c r="U315" t="s">
        <v>830</v>
      </c>
      <c r="W315" t="s">
        <v>2499</v>
      </c>
      <c r="X315" t="s">
        <v>2514</v>
      </c>
      <c r="Y315" t="s">
        <v>830</v>
      </c>
      <c r="Z315">
        <v>1</v>
      </c>
      <c r="AA315">
        <v>19</v>
      </c>
      <c r="AB315">
        <v>13.926</v>
      </c>
      <c r="AC315" t="str">
        <f t="shared" si="27"/>
        <v>QIVTUK</v>
      </c>
      <c r="AD315" t="s">
        <v>3282</v>
      </c>
      <c r="AE315" t="str">
        <f t="shared" si="23"/>
        <v>bResorcylicAcidHemihydrate</v>
      </c>
      <c r="AF315" t="s">
        <v>3240</v>
      </c>
      <c r="AG315" s="15" t="s">
        <v>2889</v>
      </c>
      <c r="AH315" t="s">
        <v>2923</v>
      </c>
      <c r="AI315" t="str">
        <f t="shared" si="24"/>
        <v>CSD,version,6.01,with,Feb,2026,update</v>
      </c>
      <c r="AJ315" t="str">
        <f t="shared" si="25"/>
        <v>C7,H6,O4,.,C7,H6,O4,.,H2,O1</v>
      </c>
      <c r="AK315" s="8"/>
      <c r="AL315" s="8">
        <v>1</v>
      </c>
      <c r="AM315" s="8">
        <v>3</v>
      </c>
      <c r="AN315" t="str">
        <f>IF(AM315&lt;&gt;"",CONCATENATE(AC315," &amp; \ce{",SUBSTITUTE(AJ315,","," "),"} &amp; ",SUBSTITUTE(AF315,"."," ")," &amp; ",AL315," &amp; ",AM315," \\"),"")</f>
        <v>QIVTUK &amp; \ce{C7 H6 O4 . C7 H6 O4 . H2 O1} &amp; beta-Resorcylic Acid Hemihydrate &amp; 1 &amp; 3 \\</v>
      </c>
    </row>
    <row r="316" spans="1:40" s="8" customFormat="1" ht="15" x14ac:dyDescent="0.25">
      <c r="A316" t="s">
        <v>521</v>
      </c>
      <c r="B316" s="17" t="s">
        <v>3034</v>
      </c>
      <c r="C316">
        <v>20</v>
      </c>
      <c r="D316" t="s">
        <v>522</v>
      </c>
      <c r="E316" t="s">
        <v>523</v>
      </c>
      <c r="F316" t="s">
        <v>8</v>
      </c>
      <c r="G316" t="s">
        <v>2481</v>
      </c>
      <c r="H316" t="s">
        <v>830</v>
      </c>
      <c r="I316" t="s">
        <v>2385</v>
      </c>
      <c r="J316" t="s">
        <v>1268</v>
      </c>
      <c r="K316" t="s">
        <v>898</v>
      </c>
      <c r="L316" t="s">
        <v>2233</v>
      </c>
      <c r="M316" t="s">
        <v>887</v>
      </c>
      <c r="N316">
        <v>2011</v>
      </c>
      <c r="O316" t="s">
        <v>830</v>
      </c>
      <c r="P316" t="s">
        <v>2502</v>
      </c>
      <c r="Q316" t="s">
        <v>830</v>
      </c>
      <c r="R316"/>
      <c r="S316"/>
      <c r="T316" t="s">
        <v>830</v>
      </c>
      <c r="U316" t="s">
        <v>830</v>
      </c>
      <c r="V316"/>
      <c r="W316" t="s">
        <v>2499</v>
      </c>
      <c r="X316" t="s">
        <v>2515</v>
      </c>
      <c r="Y316" t="s">
        <v>830</v>
      </c>
      <c r="Z316">
        <v>1</v>
      </c>
      <c r="AA316">
        <v>1055</v>
      </c>
      <c r="AB316">
        <v>36.42</v>
      </c>
      <c r="AC316" t="str">
        <f t="shared" si="27"/>
        <v/>
      </c>
      <c r="AD316"/>
      <c r="AE316" t="str">
        <f t="shared" si="23"/>
        <v/>
      </c>
      <c r="AF316"/>
      <c r="AG316" s="15"/>
      <c r="AH316"/>
      <c r="AI316" t="str">
        <f t="shared" si="24"/>
        <v/>
      </c>
      <c r="AJ316" t="str">
        <f t="shared" si="25"/>
        <v/>
      </c>
      <c r="AK316"/>
      <c r="AL316"/>
      <c r="AM316"/>
      <c r="AN316" t="str">
        <f>IF(AM316&lt;&gt;"",CONCATENATE(AC316," &amp; ",SUBSTITUTE(AJ316,","," ")," &amp; ",SUBSTITUTE(AF316,"."," ")," &amp; ",AL316," &amp; ",AM316," \\"),"")</f>
        <v/>
      </c>
    </row>
    <row r="317" spans="1:40" s="8" customFormat="1" ht="15" x14ac:dyDescent="0.25">
      <c r="A317" t="s">
        <v>521</v>
      </c>
      <c r="B317" s="17" t="s">
        <v>3034</v>
      </c>
      <c r="C317">
        <v>30</v>
      </c>
      <c r="D317" t="s">
        <v>524</v>
      </c>
      <c r="E317" t="s">
        <v>523</v>
      </c>
      <c r="F317" t="s">
        <v>8</v>
      </c>
      <c r="G317" t="s">
        <v>2481</v>
      </c>
      <c r="H317" t="s">
        <v>830</v>
      </c>
      <c r="I317" t="s">
        <v>2385</v>
      </c>
      <c r="J317" t="s">
        <v>1270</v>
      </c>
      <c r="K317" t="s">
        <v>898</v>
      </c>
      <c r="L317" t="s">
        <v>1527</v>
      </c>
      <c r="M317" t="s">
        <v>2509</v>
      </c>
      <c r="N317">
        <v>2011</v>
      </c>
      <c r="O317" t="s">
        <v>830</v>
      </c>
      <c r="P317" t="s">
        <v>2502</v>
      </c>
      <c r="Q317" t="s">
        <v>830</v>
      </c>
      <c r="R317"/>
      <c r="S317"/>
      <c r="T317" t="s">
        <v>830</v>
      </c>
      <c r="U317" t="s">
        <v>830</v>
      </c>
      <c r="V317"/>
      <c r="W317" t="s">
        <v>2499</v>
      </c>
      <c r="X317" t="s">
        <v>2516</v>
      </c>
      <c r="Y317" t="s">
        <v>830</v>
      </c>
      <c r="Z317">
        <v>1</v>
      </c>
      <c r="AA317">
        <v>15</v>
      </c>
      <c r="AB317">
        <v>7.141</v>
      </c>
      <c r="AC317" t="str">
        <f t="shared" si="27"/>
        <v/>
      </c>
      <c r="AD317"/>
      <c r="AE317" t="str">
        <f t="shared" si="23"/>
        <v/>
      </c>
      <c r="AF317"/>
      <c r="AG317" s="15"/>
      <c r="AH317"/>
      <c r="AI317" t="str">
        <f t="shared" si="24"/>
        <v/>
      </c>
      <c r="AJ317" t="str">
        <f t="shared" si="25"/>
        <v/>
      </c>
      <c r="AK317"/>
      <c r="AL317"/>
      <c r="AM317"/>
      <c r="AN317" t="str">
        <f>IF(AM317&lt;&gt;"",CONCATENATE(AC317," &amp; ",SUBSTITUTE(AJ317,","," ")," &amp; ",SUBSTITUTE(AF317,"."," ")," &amp; ",AL317," &amp; ",AM317," \\"),"")</f>
        <v/>
      </c>
    </row>
    <row r="318" spans="1:40" x14ac:dyDescent="0.2">
      <c r="A318" t="s">
        <v>525</v>
      </c>
      <c r="B318" t="s">
        <v>526</v>
      </c>
      <c r="C318">
        <v>0</v>
      </c>
      <c r="D318" t="s">
        <v>527</v>
      </c>
      <c r="E318" t="s">
        <v>528</v>
      </c>
      <c r="F318" t="s">
        <v>8</v>
      </c>
      <c r="G318" t="s">
        <v>2549</v>
      </c>
      <c r="H318" t="s">
        <v>830</v>
      </c>
      <c r="I318" t="s">
        <v>2385</v>
      </c>
      <c r="J318" t="s">
        <v>1190</v>
      </c>
      <c r="K318" t="s">
        <v>2524</v>
      </c>
      <c r="L318" t="s">
        <v>1553</v>
      </c>
      <c r="M318" t="s">
        <v>876</v>
      </c>
      <c r="N318" t="s">
        <v>1876</v>
      </c>
      <c r="O318" t="s">
        <v>830</v>
      </c>
      <c r="P318" t="s">
        <v>891</v>
      </c>
      <c r="Q318" t="s">
        <v>830</v>
      </c>
      <c r="T318" t="s">
        <v>830</v>
      </c>
      <c r="U318" t="s">
        <v>830</v>
      </c>
      <c r="W318" t="s">
        <v>2526</v>
      </c>
      <c r="X318" t="s">
        <v>2557</v>
      </c>
      <c r="Y318" t="s">
        <v>830</v>
      </c>
      <c r="Z318">
        <v>1</v>
      </c>
      <c r="AA318">
        <v>13</v>
      </c>
      <c r="AB318">
        <v>9.65</v>
      </c>
      <c r="AC318" t="str">
        <f t="shared" si="27"/>
        <v>QQQAMM</v>
      </c>
      <c r="AD318" t="s">
        <v>527</v>
      </c>
      <c r="AE318" t="str">
        <f t="shared" si="23"/>
        <v>Equilinin</v>
      </c>
      <c r="AF318" t="str">
        <f>AE318</f>
        <v>Equilinin</v>
      </c>
      <c r="AG318" s="15" t="s">
        <v>2889</v>
      </c>
      <c r="AH318" t="s">
        <v>2888</v>
      </c>
      <c r="AI318" t="str">
        <f t="shared" si="24"/>
        <v>CSD,version,6.01,with,Feb,2026,update</v>
      </c>
      <c r="AJ318" t="str">
        <f t="shared" si="25"/>
        <v>C18,H18,O2</v>
      </c>
      <c r="AL318">
        <v>1</v>
      </c>
      <c r="AM318">
        <v>2</v>
      </c>
      <c r="AN318" t="str">
        <f>IF(AM318&lt;&gt;"",CONCATENATE(AC318," &amp; \ce{",SUBSTITUTE(AJ318,","," "),"} &amp; ",SUBSTITUTE(AF318,"."," ")," &amp; ",AL318," &amp; ",AM318," \\"),"")</f>
        <v>QQQAMM &amp; \ce{C18 H18 O2} &amp; Equilinin &amp; 1 &amp; 2 \\</v>
      </c>
    </row>
    <row r="319" spans="1:40" x14ac:dyDescent="0.2">
      <c r="A319" t="s">
        <v>525</v>
      </c>
      <c r="B319" t="s">
        <v>526</v>
      </c>
      <c r="C319">
        <v>10</v>
      </c>
      <c r="D319" t="s">
        <v>527</v>
      </c>
      <c r="E319" t="s">
        <v>528</v>
      </c>
      <c r="F319" t="s">
        <v>8</v>
      </c>
      <c r="G319" t="s">
        <v>2549</v>
      </c>
      <c r="H319" t="s">
        <v>830</v>
      </c>
      <c r="I319" t="s">
        <v>2385</v>
      </c>
      <c r="J319" t="s">
        <v>1191</v>
      </c>
      <c r="K319" t="s">
        <v>2524</v>
      </c>
      <c r="L319" t="s">
        <v>1663</v>
      </c>
      <c r="M319" t="s">
        <v>876</v>
      </c>
      <c r="N319" t="s">
        <v>1876</v>
      </c>
      <c r="O319" t="s">
        <v>830</v>
      </c>
      <c r="P319" t="s">
        <v>2555</v>
      </c>
      <c r="Q319" t="s">
        <v>830</v>
      </c>
      <c r="T319" t="s">
        <v>830</v>
      </c>
      <c r="U319" t="s">
        <v>830</v>
      </c>
      <c r="W319" t="s">
        <v>2526</v>
      </c>
      <c r="X319" t="s">
        <v>2558</v>
      </c>
      <c r="Y319" t="s">
        <v>830</v>
      </c>
      <c r="Z319">
        <v>1</v>
      </c>
      <c r="AA319">
        <v>10</v>
      </c>
      <c r="AB319">
        <v>8.2439999999999998</v>
      </c>
      <c r="AC319" t="str">
        <f t="shared" si="27"/>
        <v/>
      </c>
      <c r="AE319" t="str">
        <f t="shared" si="23"/>
        <v/>
      </c>
      <c r="AI319" t="str">
        <f t="shared" si="24"/>
        <v/>
      </c>
      <c r="AJ319" t="str">
        <f t="shared" si="25"/>
        <v/>
      </c>
      <c r="AK319" s="8"/>
      <c r="AL319" s="8"/>
      <c r="AM319" s="8"/>
      <c r="AN319" t="str">
        <f>IF(AM319&lt;&gt;"",CONCATENATE(AC319," &amp; ",SUBSTITUTE(AJ319,","," ")," &amp; ",SUBSTITUTE(AF319,"."," ")," &amp; ",AL319," &amp; ",AM319," \\"),"")</f>
        <v/>
      </c>
    </row>
    <row r="320" spans="1:40" ht="15" x14ac:dyDescent="0.25">
      <c r="A320" t="s">
        <v>529</v>
      </c>
      <c r="B320" s="17" t="s">
        <v>3035</v>
      </c>
      <c r="C320">
        <v>0</v>
      </c>
      <c r="D320" t="s">
        <v>530</v>
      </c>
      <c r="E320" t="s">
        <v>531</v>
      </c>
      <c r="F320" t="s">
        <v>8</v>
      </c>
      <c r="G320" t="s">
        <v>2550</v>
      </c>
      <c r="H320" t="s">
        <v>830</v>
      </c>
      <c r="I320" t="s">
        <v>2385</v>
      </c>
      <c r="J320" t="s">
        <v>1167</v>
      </c>
      <c r="K320" t="s">
        <v>897</v>
      </c>
      <c r="L320" t="s">
        <v>1553</v>
      </c>
      <c r="M320" t="s">
        <v>2556</v>
      </c>
      <c r="N320" t="s">
        <v>1876</v>
      </c>
      <c r="O320" t="s">
        <v>830</v>
      </c>
      <c r="P320" t="s">
        <v>2548</v>
      </c>
      <c r="Q320" t="s">
        <v>830</v>
      </c>
      <c r="T320" t="s">
        <v>830</v>
      </c>
      <c r="U320" t="s">
        <v>830</v>
      </c>
      <c r="W320" t="s">
        <v>2526</v>
      </c>
      <c r="X320" t="s">
        <v>2551</v>
      </c>
      <c r="Y320" t="s">
        <v>830</v>
      </c>
      <c r="Z320">
        <v>3</v>
      </c>
      <c r="AA320">
        <v>138</v>
      </c>
      <c r="AB320">
        <v>15.273999999999999</v>
      </c>
      <c r="AC320" t="str">
        <f t="shared" si="27"/>
        <v>QQQAUG</v>
      </c>
      <c r="AD320" t="s">
        <v>530</v>
      </c>
      <c r="AE320" t="str">
        <f t="shared" si="23"/>
        <v>Chlorothiazide</v>
      </c>
      <c r="AF320" t="str">
        <f>AE320</f>
        <v>Chlorothiazide</v>
      </c>
      <c r="AG320" s="15" t="s">
        <v>2889</v>
      </c>
      <c r="AH320" t="s">
        <v>2884</v>
      </c>
      <c r="AI320" t="str">
        <f t="shared" si="24"/>
        <v>CSD,version,6.01,with,Feb,2026,update</v>
      </c>
      <c r="AJ320" t="str">
        <f t="shared" si="25"/>
        <v>C7,H6,N3,O4,Cl1,S2</v>
      </c>
      <c r="AK320" s="8"/>
      <c r="AL320" s="8">
        <v>1</v>
      </c>
      <c r="AM320" s="8">
        <v>1</v>
      </c>
      <c r="AN320" t="str">
        <f>IF(AM320&lt;&gt;"",CONCATENATE(AC320," &amp; \ce{",SUBSTITUTE(AJ320,","," "),"} &amp; ",SUBSTITUTE(AF320,"."," ")," &amp; ",AL320," &amp; ",AM320," \\"),"")</f>
        <v>QQQAUG &amp; \ce{C7 H6 N3 O4 Cl1 S2} &amp; Chlorothiazide &amp; 1 &amp; 1 \\</v>
      </c>
    </row>
    <row r="321" spans="1:40" x14ac:dyDescent="0.2">
      <c r="A321" t="s">
        <v>532</v>
      </c>
      <c r="B321" t="s">
        <v>1509</v>
      </c>
      <c r="C321">
        <v>10</v>
      </c>
      <c r="D321" t="s">
        <v>533</v>
      </c>
      <c r="E321" t="s">
        <v>534</v>
      </c>
      <c r="F321" t="s">
        <v>535</v>
      </c>
      <c r="G321" t="s">
        <v>536</v>
      </c>
      <c r="H321" t="s">
        <v>830</v>
      </c>
      <c r="I321" t="s">
        <v>1477</v>
      </c>
      <c r="J321" t="s">
        <v>1498</v>
      </c>
      <c r="K321" t="s">
        <v>864</v>
      </c>
      <c r="L321" t="s">
        <v>1512</v>
      </c>
      <c r="M321" t="s">
        <v>887</v>
      </c>
      <c r="N321">
        <v>2012</v>
      </c>
      <c r="O321" t="s">
        <v>830</v>
      </c>
      <c r="P321" t="s">
        <v>1514</v>
      </c>
      <c r="Q321" t="s">
        <v>830</v>
      </c>
      <c r="T321" t="s">
        <v>830</v>
      </c>
      <c r="U321" t="s">
        <v>830</v>
      </c>
      <c r="W321" t="s">
        <v>1772</v>
      </c>
      <c r="X321" t="s">
        <v>1773</v>
      </c>
      <c r="Y321" t="s">
        <v>830</v>
      </c>
      <c r="Z321">
        <v>1</v>
      </c>
      <c r="AA321">
        <v>78</v>
      </c>
      <c r="AB321">
        <v>22.957999999999998</v>
      </c>
      <c r="AC321" t="str">
        <f t="shared" si="27"/>
        <v>QQQBTY</v>
      </c>
      <c r="AD321" t="s">
        <v>3078</v>
      </c>
      <c r="AE321" t="str">
        <f t="shared" si="23"/>
        <v>FenamicAcid</v>
      </c>
      <c r="AF321" t="s">
        <v>3448</v>
      </c>
      <c r="AG321" s="15" t="s">
        <v>3079</v>
      </c>
      <c r="AH321" t="s">
        <v>3076</v>
      </c>
      <c r="AI321" t="str">
        <f t="shared" si="24"/>
        <v>CSD,version,5.43,with,Mar,,Jun,,Sep,and,Nov,2022,updates</v>
      </c>
      <c r="AJ321" t="str">
        <f t="shared" si="25"/>
        <v>C13,H11,N1,O2</v>
      </c>
      <c r="AK321" t="s">
        <v>3057</v>
      </c>
      <c r="AL321">
        <v>1</v>
      </c>
      <c r="AM321">
        <v>3</v>
      </c>
      <c r="AN321" t="str">
        <f>IF(AM321&lt;&gt;"",CONCATENATE(AC321," &amp; \ce{",SUBSTITUTE(AJ321,","," "),"} &amp; ",SUBSTITUTE(AF321,"."," ")," &amp; ",AL321," &amp; ",AM321," \\"),"")</f>
        <v>QQQBTY &amp; \ce{C13 H11 N1 O2} &amp; Fenamic Acid &amp; 1 &amp; 3 \\</v>
      </c>
    </row>
    <row r="322" spans="1:40" s="8" customFormat="1" x14ac:dyDescent="0.2">
      <c r="A322" t="s">
        <v>532</v>
      </c>
      <c r="B322" t="s">
        <v>1509</v>
      </c>
      <c r="C322">
        <v>11</v>
      </c>
      <c r="D322" t="s">
        <v>1618</v>
      </c>
      <c r="E322" t="s">
        <v>534</v>
      </c>
      <c r="F322" t="s">
        <v>1619</v>
      </c>
      <c r="G322" t="s">
        <v>536</v>
      </c>
      <c r="H322" t="s">
        <v>830</v>
      </c>
      <c r="I322" t="s">
        <v>1477</v>
      </c>
      <c r="J322" t="s">
        <v>1620</v>
      </c>
      <c r="K322" t="s">
        <v>839</v>
      </c>
      <c r="L322" t="s">
        <v>1616</v>
      </c>
      <c r="M322" t="s">
        <v>1586</v>
      </c>
      <c r="N322">
        <v>2024</v>
      </c>
      <c r="O322" t="s">
        <v>830</v>
      </c>
      <c r="P322" t="s">
        <v>891</v>
      </c>
      <c r="Q322" t="s">
        <v>830</v>
      </c>
      <c r="R322" t="s">
        <v>830</v>
      </c>
      <c r="S322" t="s">
        <v>830</v>
      </c>
      <c r="T322" t="s">
        <v>830</v>
      </c>
      <c r="U322" t="s">
        <v>830</v>
      </c>
      <c r="V322"/>
      <c r="W322" t="s">
        <v>1772</v>
      </c>
      <c r="X322" t="s">
        <v>1774</v>
      </c>
      <c r="Y322" t="s">
        <v>830</v>
      </c>
      <c r="Z322">
        <v>1</v>
      </c>
      <c r="AA322">
        <v>17</v>
      </c>
      <c r="AB322">
        <v>16.303000000000001</v>
      </c>
      <c r="AC322" t="str">
        <f t="shared" si="27"/>
        <v/>
      </c>
      <c r="AD322"/>
      <c r="AE322" t="str">
        <f t="shared" ref="AE322:AE385" si="28">IF(AC322="","",MID(X322,1,(FIND("_",X322))-1))</f>
        <v/>
      </c>
      <c r="AF322"/>
      <c r="AG322" s="15"/>
      <c r="AH322"/>
      <c r="AI322" t="str">
        <f t="shared" ref="AI322:AI385" si="29">IF(AC322="","",SUBSTITUTE(IF(MID(I322,1,5)="Yes, ",MID(I322,6,100),I322)," ",","))</f>
        <v/>
      </c>
      <c r="AJ322" t="str">
        <f t="shared" ref="AJ322:AJ385" si="30">IF(AC322="","",SUBSTITUTE(B322," ",","))</f>
        <v/>
      </c>
      <c r="AK322"/>
      <c r="AL322"/>
      <c r="AM322"/>
      <c r="AN322" t="str">
        <f>IF(AM322&lt;&gt;"",CONCATENATE(AC322," &amp; ",SUBSTITUTE(AJ322,","," ")," &amp; ",SUBSTITUTE(AF322,"."," ")," &amp; ",AL322," &amp; ",AM322," \\"),"")</f>
        <v/>
      </c>
    </row>
    <row r="323" spans="1:40" x14ac:dyDescent="0.2">
      <c r="A323" t="s">
        <v>532</v>
      </c>
      <c r="B323" t="s">
        <v>1509</v>
      </c>
      <c r="C323">
        <v>30</v>
      </c>
      <c r="D323" t="s">
        <v>533</v>
      </c>
      <c r="E323" t="s">
        <v>534</v>
      </c>
      <c r="F323" t="s">
        <v>535</v>
      </c>
      <c r="G323" t="s">
        <v>536</v>
      </c>
      <c r="H323" t="s">
        <v>830</v>
      </c>
      <c r="I323" t="s">
        <v>1477</v>
      </c>
      <c r="J323" t="s">
        <v>1499</v>
      </c>
      <c r="K323" t="s">
        <v>864</v>
      </c>
      <c r="L323" t="s">
        <v>1513</v>
      </c>
      <c r="M323" t="s">
        <v>2594</v>
      </c>
      <c r="N323">
        <v>2012</v>
      </c>
      <c r="O323" t="s">
        <v>830</v>
      </c>
      <c r="P323" t="s">
        <v>891</v>
      </c>
      <c r="Q323" t="s">
        <v>830</v>
      </c>
      <c r="T323" t="s">
        <v>830</v>
      </c>
      <c r="U323" t="s">
        <v>830</v>
      </c>
      <c r="W323" t="s">
        <v>1772</v>
      </c>
      <c r="X323" t="s">
        <v>1775</v>
      </c>
      <c r="Y323" t="s">
        <v>830</v>
      </c>
      <c r="Z323">
        <v>1</v>
      </c>
      <c r="AA323">
        <v>19</v>
      </c>
      <c r="AB323">
        <v>8.6950000000000003</v>
      </c>
      <c r="AC323" t="str">
        <f t="shared" si="27"/>
        <v/>
      </c>
      <c r="AE323" t="str">
        <f t="shared" si="28"/>
        <v/>
      </c>
      <c r="AI323" t="str">
        <f t="shared" si="29"/>
        <v/>
      </c>
      <c r="AJ323" t="str">
        <f t="shared" si="30"/>
        <v/>
      </c>
      <c r="AN323" t="str">
        <f>IF(AM323&lt;&gt;"",CONCATENATE(AC323," &amp; ",SUBSTITUTE(AJ323,","," ")," &amp; ",SUBSTITUTE(AF323,"."," ")," &amp; ",AL323," &amp; ",AM323," \\"),"")</f>
        <v/>
      </c>
    </row>
    <row r="324" spans="1:40" ht="15" x14ac:dyDescent="0.25">
      <c r="A324" s="4" t="s">
        <v>1072</v>
      </c>
      <c r="B324" t="s">
        <v>555</v>
      </c>
      <c r="C324">
        <v>10</v>
      </c>
      <c r="D324" t="s">
        <v>388</v>
      </c>
      <c r="E324" t="s">
        <v>388</v>
      </c>
      <c r="F324" t="s">
        <v>8</v>
      </c>
      <c r="G324" s="4" t="s">
        <v>2325</v>
      </c>
      <c r="H324" t="s">
        <v>830</v>
      </c>
      <c r="I324" t="s">
        <v>2385</v>
      </c>
      <c r="J324" t="s">
        <v>1256</v>
      </c>
      <c r="K324" t="s">
        <v>848</v>
      </c>
      <c r="L324" t="s">
        <v>2322</v>
      </c>
      <c r="M324" t="s">
        <v>2324</v>
      </c>
      <c r="N324">
        <v>2018</v>
      </c>
      <c r="O324" t="s">
        <v>830</v>
      </c>
      <c r="P324" t="s">
        <v>2330</v>
      </c>
      <c r="Q324" t="s">
        <v>830</v>
      </c>
      <c r="T324" t="s">
        <v>830</v>
      </c>
      <c r="U324" t="s">
        <v>830</v>
      </c>
      <c r="W324" t="s">
        <v>2343</v>
      </c>
      <c r="X324" t="s">
        <v>2340</v>
      </c>
      <c r="Y324" t="s">
        <v>830</v>
      </c>
      <c r="Z324">
        <v>1</v>
      </c>
      <c r="AA324">
        <v>627</v>
      </c>
      <c r="AB324">
        <v>25.849</v>
      </c>
      <c r="AC324" t="str">
        <f t="shared" si="27"/>
        <v>QUPROL</v>
      </c>
      <c r="AD324" t="s">
        <v>3157</v>
      </c>
      <c r="AE324" t="str">
        <f t="shared" si="28"/>
        <v>2M4NBA</v>
      </c>
      <c r="AF324" t="s">
        <v>3168</v>
      </c>
      <c r="AG324" s="15" t="s">
        <v>2919</v>
      </c>
      <c r="AH324" t="s">
        <v>2884</v>
      </c>
      <c r="AI324" t="str">
        <f t="shared" si="29"/>
        <v>CSD,version,6.01,with,Feb,2026,update</v>
      </c>
      <c r="AJ324" t="str">
        <f t="shared" si="30"/>
        <v>C8,H7,N1,O4</v>
      </c>
      <c r="AL324">
        <v>1</v>
      </c>
      <c r="AM324">
        <v>1</v>
      </c>
      <c r="AN324" t="str">
        <f>IF(AM324&lt;&gt;"",CONCATENATE(AC324," &amp; \ce{",SUBSTITUTE(AJ324,","," "),"} &amp; ",SUBSTITUTE(AF324,"."," ")," &amp; ",AL324," &amp; ",AM324," \\"),"")</f>
        <v>QUPROL &amp; \ce{C8 H7 N1 O4} &amp; 2-Methyl-4-Nitrobenzoic Acid &amp; 1 &amp; 1 \\</v>
      </c>
    </row>
    <row r="325" spans="1:40" ht="15" x14ac:dyDescent="0.25">
      <c r="A325" s="4" t="s">
        <v>1073</v>
      </c>
      <c r="B325" t="s">
        <v>2329</v>
      </c>
      <c r="C325">
        <v>10</v>
      </c>
      <c r="D325" t="s">
        <v>456</v>
      </c>
      <c r="E325" t="s">
        <v>456</v>
      </c>
      <c r="F325" t="s">
        <v>8</v>
      </c>
      <c r="G325" s="4" t="s">
        <v>1073</v>
      </c>
      <c r="H325" t="s">
        <v>830</v>
      </c>
      <c r="I325" t="s">
        <v>2385</v>
      </c>
      <c r="J325" t="s">
        <v>1254</v>
      </c>
      <c r="K325" t="s">
        <v>848</v>
      </c>
      <c r="L325" t="s">
        <v>2322</v>
      </c>
      <c r="M325" t="s">
        <v>2324</v>
      </c>
      <c r="N325">
        <v>2018</v>
      </c>
      <c r="O325" t="s">
        <v>830</v>
      </c>
      <c r="P325" t="s">
        <v>2330</v>
      </c>
      <c r="Q325" t="s">
        <v>830</v>
      </c>
      <c r="T325" t="s">
        <v>830</v>
      </c>
      <c r="U325" t="s">
        <v>830</v>
      </c>
      <c r="W325" t="s">
        <v>2343</v>
      </c>
      <c r="X325" t="s">
        <v>2342</v>
      </c>
      <c r="Y325" t="s">
        <v>830</v>
      </c>
      <c r="Z325">
        <v>1</v>
      </c>
      <c r="AA325">
        <v>338</v>
      </c>
      <c r="AB325">
        <v>38.539000000000001</v>
      </c>
      <c r="AC325" t="str">
        <f t="shared" si="27"/>
        <v>QUPSEC</v>
      </c>
      <c r="AD325" t="s">
        <v>3159</v>
      </c>
      <c r="AE325" t="str">
        <f t="shared" si="28"/>
        <v>2H4NBA</v>
      </c>
      <c r="AF325" t="s">
        <v>3169</v>
      </c>
      <c r="AG325" s="15" t="s">
        <v>2919</v>
      </c>
      <c r="AH325" t="s">
        <v>2884</v>
      </c>
      <c r="AI325" t="str">
        <f t="shared" si="29"/>
        <v>CSD,version,6.01,with,Feb,2026,update</v>
      </c>
      <c r="AJ325" t="str">
        <f t="shared" si="30"/>
        <v>C7,H5,N1,O5</v>
      </c>
      <c r="AK325" s="8"/>
      <c r="AL325">
        <v>1</v>
      </c>
      <c r="AM325">
        <v>1</v>
      </c>
      <c r="AN325" t="str">
        <f>IF(AM325&lt;&gt;"",CONCATENATE(AC325," &amp; \ce{",SUBSTITUTE(AJ325,","," "),"} &amp; ",SUBSTITUTE(AF325,"."," ")," &amp; ",AL325," &amp; ",AM325," \\"),"")</f>
        <v>QUPSEC &amp; \ce{C7 H5 N1 O5} &amp; 2-Hydroxy-4-Nitrobenzoic Acid &amp; 1 &amp; 1 \\</v>
      </c>
    </row>
    <row r="326" spans="1:40" ht="15" x14ac:dyDescent="0.25">
      <c r="A326" t="s">
        <v>2323</v>
      </c>
      <c r="B326" t="s">
        <v>2327</v>
      </c>
      <c r="C326">
        <v>10</v>
      </c>
      <c r="D326" t="s">
        <v>2335</v>
      </c>
      <c r="E326" t="s">
        <v>2335</v>
      </c>
      <c r="F326" t="s">
        <v>8</v>
      </c>
      <c r="G326" t="s">
        <v>2323</v>
      </c>
      <c r="H326" t="s">
        <v>830</v>
      </c>
      <c r="I326" t="s">
        <v>2385</v>
      </c>
      <c r="J326" t="s">
        <v>1260</v>
      </c>
      <c r="K326" t="s">
        <v>848</v>
      </c>
      <c r="L326" t="s">
        <v>2322</v>
      </c>
      <c r="M326" t="s">
        <v>2324</v>
      </c>
      <c r="N326">
        <v>2018</v>
      </c>
      <c r="O326" t="s">
        <v>830</v>
      </c>
      <c r="P326" t="s">
        <v>2330</v>
      </c>
      <c r="Q326" t="s">
        <v>830</v>
      </c>
      <c r="T326" t="s">
        <v>830</v>
      </c>
      <c r="U326" t="s">
        <v>830</v>
      </c>
      <c r="W326" t="s">
        <v>2343</v>
      </c>
      <c r="X326" t="s">
        <v>2334</v>
      </c>
      <c r="Y326" t="s">
        <v>830</v>
      </c>
      <c r="Z326">
        <v>1</v>
      </c>
      <c r="AA326">
        <v>1660</v>
      </c>
      <c r="AB326">
        <v>18.832000000000001</v>
      </c>
      <c r="AC326" t="str">
        <f t="shared" si="27"/>
        <v>QUPSUS</v>
      </c>
      <c r="AD326" t="s">
        <v>3158</v>
      </c>
      <c r="AE326" t="str">
        <f t="shared" si="28"/>
        <v>5C2NBA</v>
      </c>
      <c r="AF326" t="s">
        <v>3170</v>
      </c>
      <c r="AG326" s="15" t="s">
        <v>2919</v>
      </c>
      <c r="AH326" t="s">
        <v>2884</v>
      </c>
      <c r="AI326" t="str">
        <f t="shared" si="29"/>
        <v>CSD,version,6.01,with,Feb,2026,update</v>
      </c>
      <c r="AJ326" t="str">
        <f t="shared" si="30"/>
        <v>C7,H4,N1,O4,Cl1</v>
      </c>
      <c r="AL326">
        <v>1</v>
      </c>
      <c r="AM326">
        <v>1</v>
      </c>
      <c r="AN326" t="str">
        <f>IF(AM326&lt;&gt;"",CONCATENATE(AC326," &amp; \ce{",SUBSTITUTE(AJ326,","," "),"} &amp; ",SUBSTITUTE(AF326,"."," ")," &amp; ",AL326," &amp; ",AM326," \\"),"")</f>
        <v>QUPSUS &amp; \ce{C7 H4 N1 O4 Cl1} &amp; 5-Chloro-2-Nitrobenzoic Acid &amp; 1 &amp; 1 \\</v>
      </c>
    </row>
    <row r="327" spans="1:40" ht="15" x14ac:dyDescent="0.25">
      <c r="A327" t="s">
        <v>537</v>
      </c>
      <c r="B327" s="17" t="s">
        <v>3438</v>
      </c>
      <c r="C327">
        <v>0</v>
      </c>
      <c r="D327" t="s">
        <v>538</v>
      </c>
      <c r="E327" t="s">
        <v>538</v>
      </c>
      <c r="F327" t="s">
        <v>539</v>
      </c>
      <c r="G327" t="s">
        <v>537</v>
      </c>
      <c r="H327" t="s">
        <v>830</v>
      </c>
      <c r="I327" t="s">
        <v>2385</v>
      </c>
      <c r="J327" t="s">
        <v>2827</v>
      </c>
      <c r="K327" t="s">
        <v>853</v>
      </c>
      <c r="L327" t="s">
        <v>2233</v>
      </c>
      <c r="M327" t="s">
        <v>876</v>
      </c>
      <c r="N327">
        <v>2010</v>
      </c>
      <c r="O327" t="s">
        <v>830</v>
      </c>
      <c r="P327" t="s">
        <v>2828</v>
      </c>
      <c r="Q327" t="s">
        <v>830</v>
      </c>
      <c r="T327" t="s">
        <v>830</v>
      </c>
      <c r="U327" t="s">
        <v>830</v>
      </c>
      <c r="W327" t="s">
        <v>2836</v>
      </c>
      <c r="X327" t="s">
        <v>2829</v>
      </c>
      <c r="Y327" t="s">
        <v>830</v>
      </c>
      <c r="Z327">
        <v>1</v>
      </c>
      <c r="AA327">
        <v>592</v>
      </c>
      <c r="AB327">
        <v>20</v>
      </c>
      <c r="AC327" t="str">
        <f t="shared" si="27"/>
        <v>RABYID</v>
      </c>
      <c r="AD327" t="s">
        <v>2917</v>
      </c>
      <c r="AE327" t="str">
        <f t="shared" si="28"/>
        <v>QuinoliniumFumarate</v>
      </c>
      <c r="AF327" t="s">
        <v>2939</v>
      </c>
      <c r="AG327" s="15" t="s">
        <v>2887</v>
      </c>
      <c r="AH327" t="s">
        <v>2884</v>
      </c>
      <c r="AI327" t="str">
        <f t="shared" si="29"/>
        <v>CSD,version,6.01,with,Feb,2026,update</v>
      </c>
      <c r="AJ327" t="str">
        <f t="shared" si="30"/>
        <v>C9,H8,N1,+,.,C4,H4,O3,-</v>
      </c>
      <c r="AK327" s="4" t="s">
        <v>3059</v>
      </c>
      <c r="AL327">
        <v>1</v>
      </c>
      <c r="AM327">
        <v>1</v>
      </c>
      <c r="AN327" t="str">
        <f>IF(AM327&lt;&gt;"",CONCATENATE(AC327," &amp; \ce{",SUBSTITUTE(AJ327,","," "),"} &amp; ",SUBSTITUTE(AF327,"."," ")," &amp; ",AL327," &amp; ",AM327," \\"),"")</f>
        <v>RABYID &amp; \ce{C9 H8 N1 + . C4 H4 O3 -} &amp; Quinolinium Fumarate &amp; 1 &amp; 1 \\</v>
      </c>
    </row>
    <row r="328" spans="1:40" ht="15" x14ac:dyDescent="0.25">
      <c r="A328" t="s">
        <v>540</v>
      </c>
      <c r="B328" s="17" t="s">
        <v>3036</v>
      </c>
      <c r="C328">
        <v>10</v>
      </c>
      <c r="D328" t="s">
        <v>541</v>
      </c>
      <c r="E328" t="s">
        <v>541</v>
      </c>
      <c r="F328" t="s">
        <v>8</v>
      </c>
      <c r="G328" t="s">
        <v>540</v>
      </c>
      <c r="H328" t="s">
        <v>830</v>
      </c>
      <c r="I328" t="s">
        <v>2385</v>
      </c>
      <c r="J328" t="s">
        <v>1125</v>
      </c>
      <c r="K328" t="s">
        <v>852</v>
      </c>
      <c r="L328" t="s">
        <v>2438</v>
      </c>
      <c r="M328" t="s">
        <v>1491</v>
      </c>
      <c r="N328">
        <v>2009</v>
      </c>
      <c r="O328" t="s">
        <v>830</v>
      </c>
      <c r="P328" t="s">
        <v>1491</v>
      </c>
      <c r="Q328" t="s">
        <v>830</v>
      </c>
      <c r="T328" t="s">
        <v>830</v>
      </c>
      <c r="U328" t="s">
        <v>830</v>
      </c>
      <c r="W328" t="s">
        <v>2479</v>
      </c>
      <c r="X328" t="s">
        <v>2475</v>
      </c>
      <c r="Y328" t="s">
        <v>830</v>
      </c>
      <c r="Z328">
        <v>1</v>
      </c>
      <c r="AA328">
        <v>433</v>
      </c>
      <c r="AB328">
        <v>27.556000000000001</v>
      </c>
      <c r="AC328" t="str">
        <f t="shared" si="27"/>
        <v>RILJOL</v>
      </c>
      <c r="AD328" t="s">
        <v>3096</v>
      </c>
      <c r="AE328" t="str">
        <f t="shared" si="28"/>
        <v>Nitrophenyl-Aminobenzoic</v>
      </c>
      <c r="AF328" t="s">
        <v>3117</v>
      </c>
      <c r="AG328" s="15" t="s">
        <v>2889</v>
      </c>
      <c r="AH328" t="s">
        <v>2888</v>
      </c>
      <c r="AI328" t="str">
        <f t="shared" si="29"/>
        <v>CSD,version,6.01,with,Feb,2026,update</v>
      </c>
      <c r="AJ328" t="str">
        <f t="shared" si="30"/>
        <v>C8,H7,N1,O4,.,C7,H7,N1,O2</v>
      </c>
      <c r="AL328">
        <v>1</v>
      </c>
      <c r="AM328">
        <v>3</v>
      </c>
      <c r="AN328" t="str">
        <f>IF(AM328&lt;&gt;"",CONCATENATE(AC328," &amp; \ce{",SUBSTITUTE(AJ328,","," "),"} &amp; ",SUBSTITUTE(AF328,"."," ")," &amp; ",AL328," &amp; ",AM328," \\"),"")</f>
        <v>RILJOL &amp; \ce{C8 H7 N1 O4 . C7 H7 N1 O2} &amp; Nitrophenylacetic Acid Aminobenzoic Acid cocrystal &amp; 1 &amp; 3 \\</v>
      </c>
    </row>
    <row r="329" spans="1:40" ht="15" x14ac:dyDescent="0.25">
      <c r="A329" t="s">
        <v>540</v>
      </c>
      <c r="B329" s="17" t="s">
        <v>3036</v>
      </c>
      <c r="C329">
        <v>11</v>
      </c>
      <c r="D329" t="s">
        <v>541</v>
      </c>
      <c r="E329" t="s">
        <v>541</v>
      </c>
      <c r="F329" t="s">
        <v>8</v>
      </c>
      <c r="G329" t="s">
        <v>540</v>
      </c>
      <c r="H329" t="s">
        <v>830</v>
      </c>
      <c r="I329" t="s">
        <v>2385</v>
      </c>
      <c r="J329" t="s">
        <v>1127</v>
      </c>
      <c r="K329" t="s">
        <v>852</v>
      </c>
      <c r="L329" t="s">
        <v>2434</v>
      </c>
      <c r="M329" t="s">
        <v>1491</v>
      </c>
      <c r="N329">
        <v>2009</v>
      </c>
      <c r="O329" t="s">
        <v>830</v>
      </c>
      <c r="P329" t="s">
        <v>1491</v>
      </c>
      <c r="Q329" t="s">
        <v>830</v>
      </c>
      <c r="T329" t="s">
        <v>830</v>
      </c>
      <c r="U329" t="s">
        <v>830</v>
      </c>
      <c r="W329" t="s">
        <v>2479</v>
      </c>
      <c r="X329" t="s">
        <v>2477</v>
      </c>
      <c r="Y329" t="s">
        <v>830</v>
      </c>
      <c r="Z329">
        <v>1</v>
      </c>
      <c r="AA329">
        <v>2707</v>
      </c>
      <c r="AB329">
        <v>61.209000000000003</v>
      </c>
      <c r="AC329" t="str">
        <f t="shared" si="27"/>
        <v/>
      </c>
      <c r="AE329" t="str">
        <f t="shared" si="28"/>
        <v/>
      </c>
      <c r="AI329" t="str">
        <f t="shared" si="29"/>
        <v/>
      </c>
      <c r="AJ329" t="str">
        <f t="shared" si="30"/>
        <v/>
      </c>
      <c r="AN329" t="str">
        <f>IF(AM329&lt;&gt;"",CONCATENATE(AC329," &amp; ",SUBSTITUTE(AJ329,","," ")," &amp; ",SUBSTITUTE(AF329,"."," ")," &amp; ",AL329," &amp; ",AM329," \\"),"")</f>
        <v/>
      </c>
    </row>
    <row r="330" spans="1:40" ht="15" x14ac:dyDescent="0.25">
      <c r="A330" t="s">
        <v>540</v>
      </c>
      <c r="B330" s="17" t="s">
        <v>3036</v>
      </c>
      <c r="C330">
        <v>12</v>
      </c>
      <c r="D330" t="s">
        <v>541</v>
      </c>
      <c r="E330" t="s">
        <v>541</v>
      </c>
      <c r="F330" t="s">
        <v>8</v>
      </c>
      <c r="G330" t="s">
        <v>540</v>
      </c>
      <c r="H330" t="s">
        <v>830</v>
      </c>
      <c r="I330" t="s">
        <v>2385</v>
      </c>
      <c r="J330" t="s">
        <v>1126</v>
      </c>
      <c r="K330" t="s">
        <v>852</v>
      </c>
      <c r="L330" t="s">
        <v>2430</v>
      </c>
      <c r="M330" t="s">
        <v>2444</v>
      </c>
      <c r="N330">
        <v>2009</v>
      </c>
      <c r="O330" t="s">
        <v>830</v>
      </c>
      <c r="P330" t="s">
        <v>2467</v>
      </c>
      <c r="Q330" t="s">
        <v>830</v>
      </c>
      <c r="T330" t="s">
        <v>830</v>
      </c>
      <c r="U330" t="s">
        <v>830</v>
      </c>
      <c r="W330" t="s">
        <v>2479</v>
      </c>
      <c r="X330" t="s">
        <v>2476</v>
      </c>
      <c r="Y330" t="s">
        <v>830</v>
      </c>
      <c r="Z330">
        <v>1</v>
      </c>
      <c r="AA330">
        <v>27</v>
      </c>
      <c r="AB330">
        <v>10.523</v>
      </c>
      <c r="AC330" t="str">
        <f t="shared" si="27"/>
        <v/>
      </c>
      <c r="AE330" t="str">
        <f t="shared" si="28"/>
        <v/>
      </c>
      <c r="AI330" t="str">
        <f t="shared" si="29"/>
        <v/>
      </c>
      <c r="AJ330" t="str">
        <f t="shared" si="30"/>
        <v/>
      </c>
      <c r="AN330" t="str">
        <f>IF(AM330&lt;&gt;"",CONCATENATE(AC330," &amp; ",SUBSTITUTE(AJ330,","," ")," &amp; ",SUBSTITUTE(AF330,"."," ")," &amp; ",AL330," &amp; ",AM330," \\"),"")</f>
        <v/>
      </c>
    </row>
    <row r="331" spans="1:40" ht="15" x14ac:dyDescent="0.25">
      <c r="A331" t="s">
        <v>1078</v>
      </c>
      <c r="B331" s="17" t="s">
        <v>3037</v>
      </c>
      <c r="C331">
        <v>20</v>
      </c>
      <c r="D331" t="s">
        <v>709</v>
      </c>
      <c r="E331" t="s">
        <v>709</v>
      </c>
      <c r="F331" t="s">
        <v>8</v>
      </c>
      <c r="G331" t="s">
        <v>1078</v>
      </c>
      <c r="H331" t="s">
        <v>830</v>
      </c>
      <c r="I331" t="s">
        <v>1952</v>
      </c>
      <c r="J331" t="s">
        <v>1430</v>
      </c>
      <c r="K331" t="s">
        <v>853</v>
      </c>
      <c r="L331" t="s">
        <v>2233</v>
      </c>
      <c r="M331" s="1" t="s">
        <v>2589</v>
      </c>
      <c r="N331">
        <v>2011</v>
      </c>
      <c r="O331" t="s">
        <v>830</v>
      </c>
      <c r="P331" t="s">
        <v>2601</v>
      </c>
      <c r="Q331" t="s">
        <v>830</v>
      </c>
      <c r="T331" t="s">
        <v>830</v>
      </c>
      <c r="U331" t="s">
        <v>830</v>
      </c>
      <c r="W331" t="s">
        <v>2250</v>
      </c>
      <c r="X331" t="s">
        <v>2234</v>
      </c>
      <c r="Y331" t="s">
        <v>830</v>
      </c>
      <c r="Z331">
        <v>1</v>
      </c>
      <c r="AA331">
        <v>992</v>
      </c>
      <c r="AB331">
        <v>30</v>
      </c>
      <c r="AC331" t="str">
        <f t="shared" si="27"/>
        <v>SARKII</v>
      </c>
      <c r="AD331" t="s">
        <v>3138</v>
      </c>
      <c r="AE331" t="str">
        <f t="shared" si="28"/>
        <v>4cyanopyridine4fluorobenzoicacid</v>
      </c>
      <c r="AF331" t="s">
        <v>3147</v>
      </c>
      <c r="AG331" s="15" t="s">
        <v>2925</v>
      </c>
      <c r="AH331" t="s">
        <v>2884</v>
      </c>
      <c r="AI331" t="str">
        <f t="shared" si="29"/>
        <v>CSD,version,6.01</v>
      </c>
      <c r="AJ331" t="str">
        <f t="shared" si="30"/>
        <v>C7,H5,O2,F1,.,C6,H4,N2</v>
      </c>
      <c r="AL331">
        <v>1</v>
      </c>
      <c r="AM331">
        <v>1</v>
      </c>
      <c r="AN331" t="str">
        <f>IF(AM331&lt;&gt;"",CONCATENATE(AC331," &amp; \ce{",SUBSTITUTE(AJ331,","," "),"} &amp; ",SUBSTITUTE(AF331,"."," ")," &amp; ",AL331," &amp; ",AM331," \\"),"")</f>
        <v>SARKII &amp; \ce{C7 H5 O2 F1 . C6 H4 N2} &amp; 4-Cyano Pyridine 4-Fluorobenzoic Acid &amp; 1 &amp; 1 \\</v>
      </c>
    </row>
    <row r="332" spans="1:40" x14ac:dyDescent="0.2">
      <c r="A332" t="s">
        <v>544</v>
      </c>
      <c r="B332" t="s">
        <v>545</v>
      </c>
      <c r="C332">
        <v>0</v>
      </c>
      <c r="D332" t="s">
        <v>546</v>
      </c>
      <c r="E332" t="s">
        <v>547</v>
      </c>
      <c r="F332" t="s">
        <v>548</v>
      </c>
      <c r="G332" t="s">
        <v>549</v>
      </c>
      <c r="H332" t="s">
        <v>830</v>
      </c>
      <c r="I332" t="s">
        <v>1543</v>
      </c>
      <c r="J332" t="s">
        <v>1427</v>
      </c>
      <c r="K332" t="s">
        <v>869</v>
      </c>
      <c r="L332" t="s">
        <v>1547</v>
      </c>
      <c r="M332" t="s">
        <v>905</v>
      </c>
      <c r="N332">
        <v>2015</v>
      </c>
      <c r="O332" t="s">
        <v>830</v>
      </c>
      <c r="P332" t="s">
        <v>1555</v>
      </c>
      <c r="Q332" t="s">
        <v>830</v>
      </c>
      <c r="R332" t="s">
        <v>830</v>
      </c>
      <c r="S332" t="s">
        <v>1583</v>
      </c>
      <c r="T332" t="s">
        <v>830</v>
      </c>
      <c r="U332" t="s">
        <v>830</v>
      </c>
      <c r="V332" t="s">
        <v>1584</v>
      </c>
      <c r="W332" t="s">
        <v>1897</v>
      </c>
      <c r="X332" t="s">
        <v>1902</v>
      </c>
      <c r="Y332" t="s">
        <v>830</v>
      </c>
      <c r="Z332">
        <v>1</v>
      </c>
      <c r="AA332">
        <v>656</v>
      </c>
      <c r="AB332">
        <v>30</v>
      </c>
      <c r="AC332" t="str">
        <f t="shared" si="27"/>
        <v>SCCHRN</v>
      </c>
      <c r="AD332" t="s">
        <v>3075</v>
      </c>
      <c r="AE332" t="str">
        <f t="shared" si="28"/>
        <v>Saccharin</v>
      </c>
      <c r="AF332" t="str">
        <f>AE332</f>
        <v>Saccharin</v>
      </c>
      <c r="AG332" s="15" t="s">
        <v>3071</v>
      </c>
      <c r="AH332" t="s">
        <v>3061</v>
      </c>
      <c r="AI332" t="str">
        <f t="shared" si="29"/>
        <v>CSD,version,5.45</v>
      </c>
      <c r="AJ332" t="str">
        <f t="shared" si="30"/>
        <v>C7,H5,N1,O3,S1</v>
      </c>
      <c r="AK332" t="s">
        <v>3057</v>
      </c>
      <c r="AL332">
        <v>1</v>
      </c>
      <c r="AM332">
        <v>1</v>
      </c>
      <c r="AN332" t="str">
        <f>IF(AM332&lt;&gt;"",CONCATENATE(AC332," &amp; \ce{",SUBSTITUTE(AJ332,","," "),"} &amp; ",SUBSTITUTE(AF332,"."," ")," &amp; ",AL332," &amp; ",AM332," \\"),"")</f>
        <v>SCCHRN &amp; \ce{C7 H5 N1 O3 S1} &amp; Saccharin &amp; 1 &amp; 1 \\</v>
      </c>
    </row>
    <row r="333" spans="1:40" x14ac:dyDescent="0.2">
      <c r="A333" t="s">
        <v>550</v>
      </c>
      <c r="B333" t="s">
        <v>551</v>
      </c>
      <c r="C333">
        <v>0</v>
      </c>
      <c r="D333" t="s">
        <v>552</v>
      </c>
      <c r="E333" s="4" t="s">
        <v>1853</v>
      </c>
      <c r="F333" t="s">
        <v>8</v>
      </c>
      <c r="G333" t="s">
        <v>550</v>
      </c>
      <c r="H333" t="s">
        <v>830</v>
      </c>
      <c r="I333" t="s">
        <v>1859</v>
      </c>
      <c r="J333" t="s">
        <v>1857</v>
      </c>
      <c r="K333" t="s">
        <v>897</v>
      </c>
      <c r="L333" t="s">
        <v>1553</v>
      </c>
      <c r="M333" t="s">
        <v>876</v>
      </c>
      <c r="N333">
        <v>2008</v>
      </c>
      <c r="O333" t="s">
        <v>830</v>
      </c>
      <c r="P333" t="s">
        <v>1856</v>
      </c>
      <c r="Q333" t="s">
        <v>830</v>
      </c>
      <c r="T333" t="s">
        <v>830</v>
      </c>
      <c r="U333" t="s">
        <v>830</v>
      </c>
      <c r="W333" t="s">
        <v>1861</v>
      </c>
      <c r="X333" t="s">
        <v>2880</v>
      </c>
      <c r="Y333" t="s">
        <v>830</v>
      </c>
      <c r="Z333">
        <v>2</v>
      </c>
      <c r="AA333">
        <v>191</v>
      </c>
      <c r="AB333">
        <v>10</v>
      </c>
      <c r="AC333" t="str">
        <f t="shared" si="27"/>
        <v>SEDTUQ</v>
      </c>
      <c r="AD333" t="s">
        <v>3108</v>
      </c>
      <c r="AE333" t="str">
        <f t="shared" si="28"/>
        <v>FOX7</v>
      </c>
      <c r="AF333" t="str">
        <f>AE333</f>
        <v>FOX7</v>
      </c>
      <c r="AG333" s="15" t="s">
        <v>3126</v>
      </c>
      <c r="AH333" t="s">
        <v>2897</v>
      </c>
      <c r="AI333" t="str">
        <f t="shared" si="29"/>
        <v>CSD,version,5.46</v>
      </c>
      <c r="AJ333" t="str">
        <f t="shared" si="30"/>
        <v>C2,H4,N4,O4</v>
      </c>
      <c r="AL333">
        <v>2</v>
      </c>
      <c r="AM333">
        <v>2</v>
      </c>
      <c r="AN333" t="str">
        <f>IF(AM333&lt;&gt;"",CONCATENATE(AC333," &amp; \ce{",SUBSTITUTE(AJ333,","," "),"} &amp; ",SUBSTITUTE(AF333,"."," ")," &amp; ",AL333," &amp; ",AM333," \\"),"")</f>
        <v>SEDTUQ &amp; \ce{C2 H4 N4 O4} &amp; FOX7 &amp; 2 &amp; 2 \\</v>
      </c>
    </row>
    <row r="334" spans="1:40" x14ac:dyDescent="0.2">
      <c r="A334" t="s">
        <v>550</v>
      </c>
      <c r="B334" t="s">
        <v>553</v>
      </c>
      <c r="C334">
        <v>1</v>
      </c>
      <c r="D334" t="s">
        <v>552</v>
      </c>
      <c r="E334" s="4" t="s">
        <v>1853</v>
      </c>
      <c r="F334" t="s">
        <v>8</v>
      </c>
      <c r="G334" t="s">
        <v>550</v>
      </c>
      <c r="H334" t="s">
        <v>830</v>
      </c>
      <c r="I334" t="s">
        <v>1859</v>
      </c>
      <c r="J334" t="s">
        <v>1858</v>
      </c>
      <c r="K334" t="s">
        <v>897</v>
      </c>
      <c r="L334" t="s">
        <v>1855</v>
      </c>
      <c r="M334" t="s">
        <v>876</v>
      </c>
      <c r="N334">
        <v>2008</v>
      </c>
      <c r="O334" t="s">
        <v>830</v>
      </c>
      <c r="P334" t="s">
        <v>1856</v>
      </c>
      <c r="Q334" t="s">
        <v>830</v>
      </c>
      <c r="T334" t="s">
        <v>830</v>
      </c>
      <c r="U334" t="s">
        <v>830</v>
      </c>
      <c r="W334" t="s">
        <v>1861</v>
      </c>
      <c r="X334" t="s">
        <v>2881</v>
      </c>
      <c r="Y334" t="s">
        <v>830</v>
      </c>
      <c r="Z334">
        <v>2</v>
      </c>
      <c r="AA334">
        <v>151</v>
      </c>
      <c r="AB334">
        <v>10</v>
      </c>
      <c r="AC334" t="str">
        <f t="shared" si="27"/>
        <v/>
      </c>
      <c r="AE334" t="str">
        <f t="shared" si="28"/>
        <v/>
      </c>
      <c r="AI334" t="str">
        <f t="shared" si="29"/>
        <v/>
      </c>
      <c r="AJ334" t="str">
        <f t="shared" si="30"/>
        <v/>
      </c>
      <c r="AN334" t="str">
        <f>IF(AM334&lt;&gt;"",CONCATENATE(AC334," &amp; ",SUBSTITUTE(AJ334,","," ")," &amp; ",SUBSTITUTE(AF334,"."," ")," &amp; ",AL334," &amp; ",AM334," \\"),"")</f>
        <v/>
      </c>
    </row>
    <row r="335" spans="1:40" x14ac:dyDescent="0.2">
      <c r="A335" t="s">
        <v>554</v>
      </c>
      <c r="B335" t="s">
        <v>555</v>
      </c>
      <c r="C335">
        <v>10</v>
      </c>
      <c r="D335" t="s">
        <v>556</v>
      </c>
      <c r="E335" t="s">
        <v>557</v>
      </c>
      <c r="F335" t="s">
        <v>8</v>
      </c>
      <c r="G335" t="s">
        <v>2439</v>
      </c>
      <c r="H335" t="s">
        <v>830</v>
      </c>
      <c r="I335" t="s">
        <v>2385</v>
      </c>
      <c r="J335" t="s">
        <v>1106</v>
      </c>
      <c r="K335" t="s">
        <v>852</v>
      </c>
      <c r="L335" t="s">
        <v>2438</v>
      </c>
      <c r="M335" t="s">
        <v>1491</v>
      </c>
      <c r="N335">
        <v>2009</v>
      </c>
      <c r="O335" t="s">
        <v>830</v>
      </c>
      <c r="P335" t="s">
        <v>1491</v>
      </c>
      <c r="Q335" t="s">
        <v>830</v>
      </c>
      <c r="T335" t="s">
        <v>830</v>
      </c>
      <c r="U335" t="s">
        <v>830</v>
      </c>
      <c r="W335" t="s">
        <v>2479</v>
      </c>
      <c r="X335" t="s">
        <v>3286</v>
      </c>
      <c r="Y335" t="s">
        <v>830</v>
      </c>
      <c r="Z335">
        <v>2</v>
      </c>
      <c r="AA335">
        <v>159</v>
      </c>
      <c r="AB335">
        <v>11.477</v>
      </c>
      <c r="AC335" t="str">
        <f t="shared" si="27"/>
        <v>SEMTAF</v>
      </c>
      <c r="AD335" t="s">
        <v>3287</v>
      </c>
      <c r="AE335" t="str">
        <f t="shared" si="28"/>
        <v>NitrophenylAceticAcid</v>
      </c>
      <c r="AF335" t="s">
        <v>3288</v>
      </c>
      <c r="AG335" s="15" t="s">
        <v>2889</v>
      </c>
      <c r="AH335" t="s">
        <v>2888</v>
      </c>
      <c r="AI335" t="str">
        <f t="shared" si="29"/>
        <v>CSD,version,6.01,with,Feb,2026,update</v>
      </c>
      <c r="AJ335" t="str">
        <f t="shared" si="30"/>
        <v>C8,H7,N1,O4</v>
      </c>
      <c r="AL335">
        <v>1</v>
      </c>
      <c r="AM335">
        <v>3</v>
      </c>
      <c r="AN335" t="str">
        <f>IF(AM335&lt;&gt;"",CONCATENATE(AC335," &amp; \ce{",SUBSTITUTE(AJ335,","," "),"} &amp; ",SUBSTITUTE(AF335,"."," ")," &amp; ",AL335," &amp; ",AM335," \\"),"")</f>
        <v>SEMTAF &amp; \ce{C8 H7 N1 O4} &amp; Nitrophenyl Acetic Acid &amp; 1 &amp; 3 \\</v>
      </c>
    </row>
    <row r="336" spans="1:40" x14ac:dyDescent="0.2">
      <c r="A336" t="s">
        <v>554</v>
      </c>
      <c r="B336" t="s">
        <v>555</v>
      </c>
      <c r="C336">
        <v>11</v>
      </c>
      <c r="D336" t="s">
        <v>556</v>
      </c>
      <c r="E336" t="s">
        <v>557</v>
      </c>
      <c r="F336" t="s">
        <v>8</v>
      </c>
      <c r="G336" t="s">
        <v>2439</v>
      </c>
      <c r="H336" t="s">
        <v>830</v>
      </c>
      <c r="I336" t="s">
        <v>2385</v>
      </c>
      <c r="J336" t="s">
        <v>1108</v>
      </c>
      <c r="K336" t="s">
        <v>852</v>
      </c>
      <c r="L336" t="s">
        <v>2434</v>
      </c>
      <c r="M336" t="s">
        <v>1491</v>
      </c>
      <c r="N336">
        <v>2009</v>
      </c>
      <c r="O336" t="s">
        <v>830</v>
      </c>
      <c r="P336" t="s">
        <v>1491</v>
      </c>
      <c r="Q336" t="s">
        <v>830</v>
      </c>
      <c r="T336" t="s">
        <v>830</v>
      </c>
      <c r="U336" t="s">
        <v>830</v>
      </c>
      <c r="W336" t="s">
        <v>2479</v>
      </c>
      <c r="X336" t="s">
        <v>2464</v>
      </c>
      <c r="Y336" t="s">
        <v>830</v>
      </c>
      <c r="Z336">
        <v>2</v>
      </c>
      <c r="AA336">
        <v>834</v>
      </c>
      <c r="AB336">
        <v>30</v>
      </c>
      <c r="AC336" t="str">
        <f t="shared" si="27"/>
        <v/>
      </c>
      <c r="AE336" t="str">
        <f t="shared" si="28"/>
        <v/>
      </c>
      <c r="AI336" t="str">
        <f t="shared" si="29"/>
        <v/>
      </c>
      <c r="AJ336" t="str">
        <f t="shared" si="30"/>
        <v/>
      </c>
      <c r="AN336" t="str">
        <f>IF(AM336&lt;&gt;"",CONCATENATE(AC336," &amp; ",SUBSTITUTE(AJ336,","," ")," &amp; ",SUBSTITUTE(AF336,"."," ")," &amp; ",AL336," &amp; ",AM336," \\"),"")</f>
        <v/>
      </c>
    </row>
    <row r="337" spans="1:40" x14ac:dyDescent="0.2">
      <c r="A337" t="s">
        <v>554</v>
      </c>
      <c r="B337" t="s">
        <v>555</v>
      </c>
      <c r="C337">
        <v>12</v>
      </c>
      <c r="D337" t="s">
        <v>556</v>
      </c>
      <c r="E337" t="s">
        <v>557</v>
      </c>
      <c r="F337" t="s">
        <v>8</v>
      </c>
      <c r="G337" t="s">
        <v>2439</v>
      </c>
      <c r="H337" t="s">
        <v>830</v>
      </c>
      <c r="I337" t="s">
        <v>2385</v>
      </c>
      <c r="J337" t="s">
        <v>1107</v>
      </c>
      <c r="K337" t="s">
        <v>852</v>
      </c>
      <c r="L337" t="s">
        <v>2430</v>
      </c>
      <c r="M337" t="s">
        <v>2444</v>
      </c>
      <c r="N337">
        <v>2009</v>
      </c>
      <c r="O337" t="s">
        <v>830</v>
      </c>
      <c r="P337" t="s">
        <v>2463</v>
      </c>
      <c r="Q337" t="s">
        <v>830</v>
      </c>
      <c r="T337" t="s">
        <v>830</v>
      </c>
      <c r="U337" t="s">
        <v>830</v>
      </c>
      <c r="W337" t="s">
        <v>2479</v>
      </c>
      <c r="X337" t="s">
        <v>2465</v>
      </c>
      <c r="Y337" t="s">
        <v>830</v>
      </c>
      <c r="Z337">
        <v>2</v>
      </c>
      <c r="AA337">
        <v>25</v>
      </c>
      <c r="AB337">
        <v>4.5170000000000003</v>
      </c>
      <c r="AC337" t="str">
        <f t="shared" si="27"/>
        <v/>
      </c>
      <c r="AE337" t="str">
        <f t="shared" si="28"/>
        <v/>
      </c>
      <c r="AI337" t="str">
        <f t="shared" si="29"/>
        <v/>
      </c>
      <c r="AJ337" t="str">
        <f t="shared" si="30"/>
        <v/>
      </c>
      <c r="AN337" t="str">
        <f>IF(AM337&lt;&gt;"",CONCATENATE(AC337," &amp; ",SUBSTITUTE(AJ337,","," ")," &amp; ",SUBSTITUTE(AF337,"."," ")," &amp; ",AL337," &amp; ",AM337," \\"),"")</f>
        <v/>
      </c>
    </row>
    <row r="338" spans="1:40" x14ac:dyDescent="0.2">
      <c r="A338" t="s">
        <v>558</v>
      </c>
      <c r="B338" t="s">
        <v>559</v>
      </c>
      <c r="C338">
        <v>10</v>
      </c>
      <c r="D338" t="s">
        <v>560</v>
      </c>
      <c r="E338" t="s">
        <v>561</v>
      </c>
      <c r="F338" t="s">
        <v>562</v>
      </c>
      <c r="G338" t="s">
        <v>2074</v>
      </c>
      <c r="H338" t="s">
        <v>830</v>
      </c>
      <c r="I338" t="s">
        <v>1952</v>
      </c>
      <c r="J338" t="s">
        <v>1395</v>
      </c>
      <c r="K338" t="s">
        <v>839</v>
      </c>
      <c r="L338" t="s">
        <v>2080</v>
      </c>
      <c r="M338" t="s">
        <v>876</v>
      </c>
      <c r="N338">
        <v>2017</v>
      </c>
      <c r="O338" t="s">
        <v>830</v>
      </c>
      <c r="P338" t="s">
        <v>1520</v>
      </c>
      <c r="Q338" t="s">
        <v>830</v>
      </c>
      <c r="T338" t="s">
        <v>830</v>
      </c>
      <c r="U338" t="s">
        <v>830</v>
      </c>
      <c r="W338" t="s">
        <v>2094</v>
      </c>
      <c r="X338" t="s">
        <v>2077</v>
      </c>
      <c r="Y338" t="s">
        <v>830</v>
      </c>
      <c r="Z338">
        <v>3</v>
      </c>
      <c r="AA338">
        <v>2231</v>
      </c>
      <c r="AB338">
        <v>30</v>
      </c>
      <c r="AC338" t="str">
        <f t="shared" si="27"/>
        <v>SIKLIH</v>
      </c>
      <c r="AD338" t="s">
        <v>560</v>
      </c>
      <c r="AE338" t="str">
        <f t="shared" si="28"/>
        <v>Diclofenac</v>
      </c>
      <c r="AF338" t="str">
        <f>AE338</f>
        <v>Diclofenac</v>
      </c>
      <c r="AG338" s="15" t="s">
        <v>2894</v>
      </c>
      <c r="AH338" t="s">
        <v>3285</v>
      </c>
      <c r="AI338" t="str">
        <f t="shared" si="29"/>
        <v>CSD,version,6.01</v>
      </c>
      <c r="AJ338" t="str">
        <f t="shared" si="30"/>
        <v>C14,H11,N1,O2,Cl2</v>
      </c>
      <c r="AL338">
        <v>1</v>
      </c>
      <c r="AM338">
        <v>4</v>
      </c>
      <c r="AN338" t="str">
        <f>IF(AM338&lt;&gt;"",CONCATENATE(AC338," &amp; \ce{",SUBSTITUTE(AJ338,","," "),"} &amp; ",SUBSTITUTE(AF338,"."," ")," &amp; ",AL338," &amp; ",AM338," \\"),"")</f>
        <v>SIKLIH &amp; \ce{C14 H11 N1 O2 Cl2} &amp; Diclofenac &amp; 1 &amp; 4 \\</v>
      </c>
    </row>
    <row r="339" spans="1:40" x14ac:dyDescent="0.2">
      <c r="A339" t="s">
        <v>558</v>
      </c>
      <c r="B339" t="s">
        <v>559</v>
      </c>
      <c r="C339">
        <v>20</v>
      </c>
      <c r="D339" t="s">
        <v>560</v>
      </c>
      <c r="E339" t="s">
        <v>561</v>
      </c>
      <c r="F339" t="s">
        <v>562</v>
      </c>
      <c r="G339" t="s">
        <v>2074</v>
      </c>
      <c r="H339" t="s">
        <v>830</v>
      </c>
      <c r="I339" t="s">
        <v>1952</v>
      </c>
      <c r="J339" t="s">
        <v>1396</v>
      </c>
      <c r="K339" t="s">
        <v>839</v>
      </c>
      <c r="L339" t="s">
        <v>1936</v>
      </c>
      <c r="M339" t="s">
        <v>876</v>
      </c>
      <c r="N339">
        <v>2017</v>
      </c>
      <c r="O339" t="s">
        <v>830</v>
      </c>
      <c r="P339" t="s">
        <v>1520</v>
      </c>
      <c r="Q339" t="s">
        <v>830</v>
      </c>
      <c r="T339" t="s">
        <v>830</v>
      </c>
      <c r="U339" t="s">
        <v>830</v>
      </c>
      <c r="W339" t="s">
        <v>2094</v>
      </c>
      <c r="X339" t="s">
        <v>2076</v>
      </c>
      <c r="Y339" t="s">
        <v>830</v>
      </c>
      <c r="Z339">
        <v>3</v>
      </c>
      <c r="AA339">
        <v>5327</v>
      </c>
      <c r="AB339">
        <v>35</v>
      </c>
      <c r="AC339" t="str">
        <f t="shared" si="27"/>
        <v/>
      </c>
      <c r="AE339" t="str">
        <f t="shared" si="28"/>
        <v/>
      </c>
      <c r="AI339" t="str">
        <f t="shared" si="29"/>
        <v/>
      </c>
      <c r="AJ339" t="str">
        <f t="shared" si="30"/>
        <v/>
      </c>
      <c r="AN339" t="str">
        <f>IF(AM339&lt;&gt;"",CONCATENATE(AC339," &amp; ",SUBSTITUTE(AJ339,","," ")," &amp; ",SUBSTITUTE(AF339,"."," ")," &amp; ",AL339," &amp; ",AM339," \\"),"")</f>
        <v/>
      </c>
    </row>
    <row r="340" spans="1:40" ht="15" x14ac:dyDescent="0.25">
      <c r="A340" t="s">
        <v>558</v>
      </c>
      <c r="B340" s="17" t="s">
        <v>559</v>
      </c>
      <c r="C340">
        <v>30</v>
      </c>
      <c r="D340" t="s">
        <v>560</v>
      </c>
      <c r="E340" t="s">
        <v>561</v>
      </c>
      <c r="F340" t="s">
        <v>562</v>
      </c>
      <c r="G340" t="s">
        <v>2074</v>
      </c>
      <c r="H340" t="s">
        <v>830</v>
      </c>
      <c r="I340" t="s">
        <v>1952</v>
      </c>
      <c r="J340" t="s">
        <v>2403</v>
      </c>
      <c r="K340" t="s">
        <v>839</v>
      </c>
      <c r="L340" t="s">
        <v>2081</v>
      </c>
      <c r="M340" t="s">
        <v>876</v>
      </c>
      <c r="N340">
        <v>2017</v>
      </c>
      <c r="O340" t="s">
        <v>830</v>
      </c>
      <c r="P340" t="s">
        <v>1520</v>
      </c>
      <c r="Q340" t="s">
        <v>830</v>
      </c>
      <c r="T340" t="s">
        <v>830</v>
      </c>
      <c r="U340" t="s">
        <v>830</v>
      </c>
      <c r="W340" t="s">
        <v>2094</v>
      </c>
      <c r="X340" t="s">
        <v>2079</v>
      </c>
      <c r="Y340" t="s">
        <v>830</v>
      </c>
      <c r="Z340">
        <v>2</v>
      </c>
      <c r="AA340">
        <v>1669</v>
      </c>
      <c r="AC340" t="str">
        <f t="shared" si="27"/>
        <v/>
      </c>
      <c r="AE340" t="str">
        <f t="shared" si="28"/>
        <v/>
      </c>
      <c r="AI340" t="str">
        <f t="shared" si="29"/>
        <v/>
      </c>
      <c r="AJ340" t="str">
        <f t="shared" si="30"/>
        <v/>
      </c>
      <c r="AN340" t="str">
        <f>IF(AM340&lt;&gt;"",CONCATENATE(AC340," &amp; ",SUBSTITUTE(AJ340,","," ")," &amp; ",SUBSTITUTE(AF340,"."," ")," &amp; ",AL340," &amp; ",AM340," \\"),"")</f>
        <v/>
      </c>
    </row>
    <row r="341" spans="1:40" ht="15" x14ac:dyDescent="0.25">
      <c r="A341" t="s">
        <v>558</v>
      </c>
      <c r="B341" s="17" t="s">
        <v>559</v>
      </c>
      <c r="C341">
        <v>40</v>
      </c>
      <c r="D341" t="s">
        <v>560</v>
      </c>
      <c r="E341" t="s">
        <v>561</v>
      </c>
      <c r="F341" t="s">
        <v>562</v>
      </c>
      <c r="G341" t="s">
        <v>2074</v>
      </c>
      <c r="H341" t="s">
        <v>830</v>
      </c>
      <c r="I341" t="s">
        <v>1952</v>
      </c>
      <c r="J341" t="s">
        <v>2404</v>
      </c>
      <c r="K341" t="s">
        <v>839</v>
      </c>
      <c r="L341" t="s">
        <v>2081</v>
      </c>
      <c r="M341" t="s">
        <v>876</v>
      </c>
      <c r="N341">
        <v>2017</v>
      </c>
      <c r="O341" t="s">
        <v>830</v>
      </c>
      <c r="P341" t="s">
        <v>2075</v>
      </c>
      <c r="Q341" t="s">
        <v>830</v>
      </c>
      <c r="T341" t="s">
        <v>830</v>
      </c>
      <c r="U341" t="s">
        <v>830</v>
      </c>
      <c r="W341" t="s">
        <v>2094</v>
      </c>
      <c r="X341" t="s">
        <v>2078</v>
      </c>
      <c r="Y341" t="s">
        <v>830</v>
      </c>
      <c r="Z341">
        <v>2</v>
      </c>
      <c r="AA341">
        <v>1669</v>
      </c>
      <c r="AC341" t="str">
        <f t="shared" si="27"/>
        <v/>
      </c>
      <c r="AE341" t="str">
        <f t="shared" si="28"/>
        <v/>
      </c>
      <c r="AI341" t="str">
        <f t="shared" si="29"/>
        <v/>
      </c>
      <c r="AJ341" t="str">
        <f t="shared" si="30"/>
        <v/>
      </c>
      <c r="AN341" t="str">
        <f>IF(AM341&lt;&gt;"",CONCATENATE(AC341," &amp; ",SUBSTITUTE(AJ341,","," ")," &amp; ",SUBSTITUTE(AF341,"."," ")," &amp; ",AL341," &amp; ",AM341," \\"),"")</f>
        <v/>
      </c>
    </row>
    <row r="342" spans="1:40" x14ac:dyDescent="0.2">
      <c r="A342" t="s">
        <v>1080</v>
      </c>
      <c r="B342" t="s">
        <v>1081</v>
      </c>
      <c r="C342">
        <v>10</v>
      </c>
      <c r="D342" t="s">
        <v>1082</v>
      </c>
      <c r="E342" t="s">
        <v>1083</v>
      </c>
      <c r="G342" t="s">
        <v>2117</v>
      </c>
      <c r="H342" t="s">
        <v>830</v>
      </c>
      <c r="I342" t="s">
        <v>2116</v>
      </c>
      <c r="J342" t="s">
        <v>1084</v>
      </c>
      <c r="K342" t="s">
        <v>1023</v>
      </c>
      <c r="L342" t="s">
        <v>1472</v>
      </c>
      <c r="M342" t="s">
        <v>2115</v>
      </c>
      <c r="N342" t="s">
        <v>1537</v>
      </c>
      <c r="O342" t="s">
        <v>830</v>
      </c>
      <c r="P342" t="s">
        <v>2113</v>
      </c>
      <c r="Q342" t="s">
        <v>830</v>
      </c>
      <c r="R342" t="s">
        <v>830</v>
      </c>
      <c r="S342" t="s">
        <v>1590</v>
      </c>
      <c r="T342" t="s">
        <v>830</v>
      </c>
      <c r="U342" t="s">
        <v>830</v>
      </c>
      <c r="W342" t="s">
        <v>2110</v>
      </c>
      <c r="X342" t="s">
        <v>2121</v>
      </c>
      <c r="Y342" t="s">
        <v>830</v>
      </c>
      <c r="Z342">
        <v>5</v>
      </c>
      <c r="AA342">
        <v>4149</v>
      </c>
      <c r="AB342">
        <v>35.781999999999996</v>
      </c>
      <c r="AC342" t="str">
        <f t="shared" si="27"/>
        <v>SLFNMA</v>
      </c>
      <c r="AD342" t="s">
        <v>1082</v>
      </c>
      <c r="AE342" t="str">
        <f t="shared" si="28"/>
        <v>Sulfamerazine</v>
      </c>
      <c r="AF342" t="str">
        <f>AE342</f>
        <v>Sulfamerazine</v>
      </c>
      <c r="AG342" s="15" t="s">
        <v>2894</v>
      </c>
      <c r="AH342" t="s">
        <v>3006</v>
      </c>
      <c r="AI342" t="str">
        <f t="shared" si="29"/>
        <v>CSD,version,6.01,and,manual,search,of,SLFNMA07</v>
      </c>
      <c r="AJ342" t="str">
        <f t="shared" si="30"/>
        <v>C11,H12,N4,O2,S1</v>
      </c>
      <c r="AK342" t="s">
        <v>3057</v>
      </c>
      <c r="AL342">
        <v>1</v>
      </c>
      <c r="AM342">
        <v>2</v>
      </c>
      <c r="AN342" t="str">
        <f>IF(AM342&lt;&gt;"",CONCATENATE(AC342," &amp; \ce{",SUBSTITUTE(AJ342,","," "),"} &amp; ",SUBSTITUTE(AF342,"."," ")," &amp; ",AL342," &amp; ",AM342," \\"),"")</f>
        <v>SLFNMA &amp; \ce{C11 H12 N4 O2 S1} &amp; Sulfamerazine &amp; 1 &amp; 2 \\</v>
      </c>
    </row>
    <row r="343" spans="1:40" x14ac:dyDescent="0.2">
      <c r="A343" t="s">
        <v>1080</v>
      </c>
      <c r="B343" t="s">
        <v>1081</v>
      </c>
      <c r="C343">
        <v>20</v>
      </c>
      <c r="D343" t="s">
        <v>1082</v>
      </c>
      <c r="E343" t="s">
        <v>1083</v>
      </c>
      <c r="G343" t="s">
        <v>2117</v>
      </c>
      <c r="H343" t="s">
        <v>830</v>
      </c>
      <c r="I343" t="s">
        <v>2116</v>
      </c>
      <c r="J343" t="s">
        <v>1084</v>
      </c>
      <c r="K343" t="s">
        <v>1023</v>
      </c>
      <c r="L343" t="s">
        <v>1005</v>
      </c>
      <c r="M343" t="s">
        <v>1025</v>
      </c>
      <c r="N343" t="s">
        <v>1473</v>
      </c>
      <c r="O343" t="s">
        <v>830</v>
      </c>
      <c r="P343" t="s">
        <v>891</v>
      </c>
      <c r="Q343" t="s">
        <v>830</v>
      </c>
      <c r="S343" t="s">
        <v>891</v>
      </c>
      <c r="T343" t="s">
        <v>830</v>
      </c>
      <c r="U343" t="s">
        <v>830</v>
      </c>
      <c r="W343" t="s">
        <v>2110</v>
      </c>
      <c r="X343" t="s">
        <v>2122</v>
      </c>
      <c r="Y343" t="s">
        <v>830</v>
      </c>
      <c r="Z343">
        <v>5</v>
      </c>
      <c r="AA343">
        <v>6267</v>
      </c>
      <c r="AB343">
        <v>33.366999999999997</v>
      </c>
      <c r="AC343" t="str">
        <f t="shared" si="27"/>
        <v/>
      </c>
      <c r="AE343" t="str">
        <f t="shared" si="28"/>
        <v/>
      </c>
      <c r="AI343" t="str">
        <f t="shared" si="29"/>
        <v/>
      </c>
      <c r="AJ343" t="str">
        <f t="shared" si="30"/>
        <v/>
      </c>
      <c r="AN343" t="str">
        <f>IF(AM343&lt;&gt;"",CONCATENATE(AC343," &amp; ",SUBSTITUTE(AJ343,","," ")," &amp; ",SUBSTITUTE(AF343,"."," ")," &amp; ",AL343," &amp; ",AM343," \\"),"")</f>
        <v/>
      </c>
    </row>
    <row r="344" spans="1:40" x14ac:dyDescent="0.2">
      <c r="A344" t="s">
        <v>563</v>
      </c>
      <c r="B344" t="s">
        <v>92</v>
      </c>
      <c r="C344">
        <v>0</v>
      </c>
      <c r="D344" t="s">
        <v>564</v>
      </c>
      <c r="E344" t="s">
        <v>565</v>
      </c>
      <c r="F344" t="s">
        <v>8</v>
      </c>
      <c r="G344" t="s">
        <v>1978</v>
      </c>
      <c r="H344" t="s">
        <v>830</v>
      </c>
      <c r="I344" t="s">
        <v>1952</v>
      </c>
      <c r="J344" t="s">
        <v>1174</v>
      </c>
      <c r="K344" t="s">
        <v>839</v>
      </c>
      <c r="L344" t="s">
        <v>1553</v>
      </c>
      <c r="M344" t="s">
        <v>876</v>
      </c>
      <c r="N344">
        <v>2010</v>
      </c>
      <c r="O344" t="s">
        <v>830</v>
      </c>
      <c r="P344" t="s">
        <v>891</v>
      </c>
      <c r="Q344" t="s">
        <v>830</v>
      </c>
      <c r="T344" t="s">
        <v>830</v>
      </c>
      <c r="U344" t="s">
        <v>830</v>
      </c>
      <c r="W344" t="s">
        <v>1958</v>
      </c>
      <c r="X344" t="s">
        <v>1972</v>
      </c>
      <c r="Y344" t="s">
        <v>830</v>
      </c>
      <c r="Z344">
        <v>2</v>
      </c>
      <c r="AA344">
        <v>23</v>
      </c>
      <c r="AB344">
        <v>10</v>
      </c>
      <c r="AC344" t="str">
        <f t="shared" si="27"/>
        <v>SODNOP</v>
      </c>
      <c r="AD344" s="4" t="s">
        <v>3067</v>
      </c>
      <c r="AE344" t="str">
        <f t="shared" si="28"/>
        <v>Cytenamide</v>
      </c>
      <c r="AF344" t="str">
        <f>AE344</f>
        <v>Cytenamide</v>
      </c>
      <c r="AG344" s="15" t="s">
        <v>2885</v>
      </c>
      <c r="AH344" t="s">
        <v>3066</v>
      </c>
      <c r="AI344" t="str">
        <f t="shared" si="29"/>
        <v>CSD,version,6.01</v>
      </c>
      <c r="AJ344" t="str">
        <f t="shared" si="30"/>
        <v>C16,H13,N1,O1</v>
      </c>
      <c r="AK344" t="s">
        <v>3418</v>
      </c>
      <c r="AL344">
        <v>2</v>
      </c>
      <c r="AM344">
        <v>3</v>
      </c>
      <c r="AN344" t="str">
        <f>IF(AM344&lt;&gt;"",CONCATENATE(AC344," &amp; \ce{",SUBSTITUTE(AJ344,","," "),"} &amp; ",SUBSTITUTE(AF344,"."," ")," &amp; ",AL344," &amp; ",AM344," \\"),"")</f>
        <v>SODNOP &amp; \ce{C16 H13 N1 O1} &amp; Cytenamide &amp; 2 &amp; 3 \\</v>
      </c>
    </row>
    <row r="345" spans="1:40" ht="15" x14ac:dyDescent="0.25">
      <c r="A345" t="s">
        <v>563</v>
      </c>
      <c r="B345" s="17" t="s">
        <v>92</v>
      </c>
      <c r="C345">
        <v>10</v>
      </c>
      <c r="D345" t="s">
        <v>564</v>
      </c>
      <c r="E345" t="s">
        <v>565</v>
      </c>
      <c r="G345" t="s">
        <v>1978</v>
      </c>
      <c r="H345" t="s">
        <v>830</v>
      </c>
      <c r="I345" t="s">
        <v>1477</v>
      </c>
      <c r="J345" t="s">
        <v>1483</v>
      </c>
      <c r="K345" t="s">
        <v>847</v>
      </c>
      <c r="L345" t="s">
        <v>1485</v>
      </c>
      <c r="M345" t="s">
        <v>930</v>
      </c>
      <c r="N345">
        <v>2016</v>
      </c>
      <c r="O345" t="s">
        <v>830</v>
      </c>
      <c r="P345" t="s">
        <v>1488</v>
      </c>
      <c r="Q345" t="s">
        <v>830</v>
      </c>
      <c r="R345" t="s">
        <v>935</v>
      </c>
      <c r="S345" t="s">
        <v>1486</v>
      </c>
      <c r="T345" t="s">
        <v>830</v>
      </c>
      <c r="U345" t="s">
        <v>830</v>
      </c>
      <c r="W345" t="s">
        <v>1958</v>
      </c>
      <c r="X345" t="s">
        <v>1973</v>
      </c>
      <c r="Y345" t="s">
        <v>830</v>
      </c>
      <c r="Z345">
        <v>2</v>
      </c>
      <c r="AA345">
        <v>252</v>
      </c>
      <c r="AB345">
        <v>15</v>
      </c>
      <c r="AC345" t="str">
        <f t="shared" si="27"/>
        <v/>
      </c>
      <c r="AE345" t="str">
        <f t="shared" si="28"/>
        <v/>
      </c>
      <c r="AI345" t="str">
        <f t="shared" si="29"/>
        <v/>
      </c>
      <c r="AJ345" t="str">
        <f t="shared" si="30"/>
        <v/>
      </c>
      <c r="AN345" t="str">
        <f>IF(AM345&lt;&gt;"",CONCATENATE(AC345," &amp; ",SUBSTITUTE(AJ345,","," ")," &amp; ",SUBSTITUTE(AF345,"."," ")," &amp; ",AL345," &amp; ",AM345," \\"),"")</f>
        <v/>
      </c>
    </row>
    <row r="346" spans="1:40" ht="15" x14ac:dyDescent="0.25">
      <c r="A346" t="s">
        <v>563</v>
      </c>
      <c r="B346" s="17" t="s">
        <v>92</v>
      </c>
      <c r="C346">
        <v>30</v>
      </c>
      <c r="D346" t="s">
        <v>564</v>
      </c>
      <c r="E346" t="s">
        <v>565</v>
      </c>
      <c r="G346" t="s">
        <v>1978</v>
      </c>
      <c r="H346" t="s">
        <v>830</v>
      </c>
      <c r="I346" t="s">
        <v>1477</v>
      </c>
      <c r="J346" t="s">
        <v>1482</v>
      </c>
      <c r="K346" t="s">
        <v>847</v>
      </c>
      <c r="L346" t="s">
        <v>1484</v>
      </c>
      <c r="M346" t="s">
        <v>930</v>
      </c>
      <c r="N346">
        <v>2016</v>
      </c>
      <c r="O346" t="s">
        <v>830</v>
      </c>
      <c r="P346" t="s">
        <v>891</v>
      </c>
      <c r="Q346" t="s">
        <v>830</v>
      </c>
      <c r="R346" t="s">
        <v>939</v>
      </c>
      <c r="S346" t="s">
        <v>939</v>
      </c>
      <c r="T346" t="s">
        <v>830</v>
      </c>
      <c r="U346" t="s">
        <v>830</v>
      </c>
      <c r="W346" t="s">
        <v>1958</v>
      </c>
      <c r="X346" t="s">
        <v>1974</v>
      </c>
      <c r="Y346" t="s">
        <v>830</v>
      </c>
      <c r="Z346">
        <v>2</v>
      </c>
      <c r="AA346">
        <v>251</v>
      </c>
      <c r="AB346">
        <v>17.939</v>
      </c>
      <c r="AC346" t="str">
        <f t="shared" si="27"/>
        <v/>
      </c>
      <c r="AE346" t="str">
        <f t="shared" si="28"/>
        <v/>
      </c>
      <c r="AI346" t="str">
        <f t="shared" si="29"/>
        <v/>
      </c>
      <c r="AJ346" t="str">
        <f t="shared" si="30"/>
        <v/>
      </c>
      <c r="AN346" t="str">
        <f>IF(AM346&lt;&gt;"",CONCATENATE(AC346," &amp; ",SUBSTITUTE(AJ346,","," ")," &amp; ",SUBSTITUTE(AF346,"."," ")," &amp; ",AL346," &amp; ",AM346," \\"),"")</f>
        <v/>
      </c>
    </row>
    <row r="347" spans="1:40" x14ac:dyDescent="0.2">
      <c r="A347" t="s">
        <v>566</v>
      </c>
      <c r="B347" t="s">
        <v>567</v>
      </c>
      <c r="C347">
        <v>0</v>
      </c>
      <c r="D347" t="s">
        <v>568</v>
      </c>
      <c r="E347" t="s">
        <v>569</v>
      </c>
      <c r="F347" t="s">
        <v>570</v>
      </c>
      <c r="G347" t="s">
        <v>566</v>
      </c>
      <c r="H347" t="s">
        <v>830</v>
      </c>
      <c r="I347" t="s">
        <v>1952</v>
      </c>
      <c r="J347" t="s">
        <v>1147</v>
      </c>
      <c r="K347" t="s">
        <v>892</v>
      </c>
      <c r="L347" t="s">
        <v>1553</v>
      </c>
      <c r="M347" t="s">
        <v>2135</v>
      </c>
      <c r="N347">
        <v>2008</v>
      </c>
      <c r="O347" t="s">
        <v>830</v>
      </c>
      <c r="P347" t="s">
        <v>2136</v>
      </c>
      <c r="Q347" t="s">
        <v>830</v>
      </c>
      <c r="T347" t="s">
        <v>830</v>
      </c>
      <c r="U347" t="s">
        <v>830</v>
      </c>
      <c r="W347" t="s">
        <v>2250</v>
      </c>
      <c r="X347" t="s">
        <v>2149</v>
      </c>
      <c r="Y347" t="s">
        <v>830</v>
      </c>
      <c r="Z347">
        <v>1</v>
      </c>
      <c r="AA347">
        <v>211</v>
      </c>
      <c r="AB347">
        <v>12</v>
      </c>
      <c r="AC347" t="str">
        <f t="shared" si="27"/>
        <v>SOXLEX</v>
      </c>
      <c r="AD347" t="s">
        <v>2915</v>
      </c>
      <c r="AE347" t="str">
        <f t="shared" si="28"/>
        <v>BTXIII</v>
      </c>
      <c r="AF347" t="s">
        <v>2970</v>
      </c>
      <c r="AG347" s="15" t="s">
        <v>2919</v>
      </c>
      <c r="AH347" t="s">
        <v>2884</v>
      </c>
      <c r="AI347" t="str">
        <f t="shared" si="29"/>
        <v>CSD,version,6.01</v>
      </c>
      <c r="AJ347" t="str">
        <f t="shared" si="30"/>
        <v>C6,H2,Br2,Cl1,F1</v>
      </c>
      <c r="AK347" s="4" t="s">
        <v>3059</v>
      </c>
      <c r="AL347">
        <v>1</v>
      </c>
      <c r="AM347">
        <v>1</v>
      </c>
      <c r="AN347" t="str">
        <f>IF(AM347&lt;&gt;"",CONCATENATE(AC347," &amp; \ce{",SUBSTITUTE(AJ347,","," "),"} &amp; ",SUBSTITUTE(AF347,"."," ")," &amp; ",AL347," &amp; ",AM347," \\"),"")</f>
        <v>SOXLEX &amp; \ce{C6 H2 Br2 Cl1 F1} &amp; Blind Test XIII (SOXLEX) &amp; 1 &amp; 1 \\</v>
      </c>
    </row>
    <row r="348" spans="1:40" ht="15" x14ac:dyDescent="0.25">
      <c r="A348" t="s">
        <v>571</v>
      </c>
      <c r="B348" s="17" t="s">
        <v>3318</v>
      </c>
      <c r="C348">
        <v>10</v>
      </c>
      <c r="D348" t="s">
        <v>573</v>
      </c>
      <c r="E348" t="s">
        <v>574</v>
      </c>
      <c r="F348" t="s">
        <v>8</v>
      </c>
      <c r="G348" t="s">
        <v>575</v>
      </c>
      <c r="H348" t="s">
        <v>830</v>
      </c>
      <c r="I348" t="s">
        <v>2386</v>
      </c>
      <c r="J348" t="s">
        <v>1454</v>
      </c>
      <c r="K348" t="s">
        <v>852</v>
      </c>
      <c r="L348" t="s">
        <v>1667</v>
      </c>
      <c r="M348" t="s">
        <v>1647</v>
      </c>
      <c r="N348">
        <v>2012</v>
      </c>
      <c r="O348" t="s">
        <v>830</v>
      </c>
      <c r="P348" t="s">
        <v>890</v>
      </c>
      <c r="Q348" t="s">
        <v>830</v>
      </c>
      <c r="T348" t="s">
        <v>830</v>
      </c>
      <c r="U348" t="s">
        <v>830</v>
      </c>
      <c r="W348" t="s">
        <v>1730</v>
      </c>
      <c r="X348" t="s">
        <v>1666</v>
      </c>
      <c r="Y348" t="s">
        <v>830</v>
      </c>
      <c r="Z348">
        <v>3</v>
      </c>
      <c r="AA348">
        <v>11</v>
      </c>
      <c r="AB348">
        <v>15.81</v>
      </c>
      <c r="AC348" t="str">
        <f t="shared" si="27"/>
        <v>SUCACB</v>
      </c>
      <c r="AD348" t="s">
        <v>3131</v>
      </c>
      <c r="AE348" t="str">
        <f t="shared" si="28"/>
        <v>SuccinicAcid</v>
      </c>
      <c r="AF348" t="s">
        <v>3148</v>
      </c>
      <c r="AG348" s="15" t="s">
        <v>2909</v>
      </c>
      <c r="AH348" t="s">
        <v>3149</v>
      </c>
      <c r="AI348" t="str">
        <f t="shared" si="29"/>
        <v>CSD,version,5.45,with,Mar,,Jun,and,Sep,updates</v>
      </c>
      <c r="AJ348" t="str">
        <f t="shared" si="30"/>
        <v>C4,H6,O4</v>
      </c>
      <c r="AL348">
        <v>4</v>
      </c>
      <c r="AM348">
        <v>10</v>
      </c>
      <c r="AN348" t="str">
        <f>IF(AM348&lt;&gt;"",CONCATENATE(AC348," &amp; \ce{",SUBSTITUTE(AJ348,","," "),"} &amp; ",SUBSTITUTE(AF348,"."," ")," &amp; ",AL348," &amp; ",AM348," \\"),"")</f>
        <v>SUCACB &amp; \ce{C4 H6 O4} &amp; Succinic Acid &amp; 4 &amp; 10 \\</v>
      </c>
    </row>
    <row r="349" spans="1:40" x14ac:dyDescent="0.2">
      <c r="A349" t="s">
        <v>571</v>
      </c>
      <c r="B349" t="s">
        <v>572</v>
      </c>
      <c r="C349">
        <v>11</v>
      </c>
      <c r="D349" t="s">
        <v>573</v>
      </c>
      <c r="E349" t="s">
        <v>576</v>
      </c>
      <c r="F349" t="s">
        <v>8</v>
      </c>
      <c r="G349" s="4" t="s">
        <v>1636</v>
      </c>
      <c r="H349" t="s">
        <v>830</v>
      </c>
      <c r="I349" t="s">
        <v>2386</v>
      </c>
      <c r="J349" t="s">
        <v>1436</v>
      </c>
      <c r="K349" t="s">
        <v>842</v>
      </c>
      <c r="L349" t="s">
        <v>1637</v>
      </c>
      <c r="M349" t="s">
        <v>890</v>
      </c>
      <c r="N349">
        <v>2018</v>
      </c>
      <c r="O349" t="s">
        <v>830</v>
      </c>
      <c r="P349" t="s">
        <v>890</v>
      </c>
      <c r="Q349" t="s">
        <v>830</v>
      </c>
      <c r="T349" t="s">
        <v>830</v>
      </c>
      <c r="U349" t="s">
        <v>830</v>
      </c>
      <c r="W349" t="s">
        <v>1730</v>
      </c>
      <c r="X349" t="s">
        <v>1650</v>
      </c>
      <c r="Y349" t="s">
        <v>830</v>
      </c>
      <c r="Z349">
        <v>3</v>
      </c>
      <c r="AA349">
        <v>455</v>
      </c>
      <c r="AB349">
        <v>20</v>
      </c>
      <c r="AC349" t="str">
        <f t="shared" si="27"/>
        <v/>
      </c>
      <c r="AE349" t="str">
        <f t="shared" si="28"/>
        <v/>
      </c>
      <c r="AI349" t="str">
        <f t="shared" si="29"/>
        <v/>
      </c>
      <c r="AJ349" t="str">
        <f t="shared" si="30"/>
        <v/>
      </c>
      <c r="AN349" t="str">
        <f t="shared" ref="AN349:AN359" si="31">IF(AM349&lt;&gt;"",CONCATENATE(AC349," &amp; ",SUBSTITUTE(AJ349,","," ")," &amp; ",SUBSTITUTE(AF349,"."," ")," &amp; ",AL349," &amp; ",AM349," \\"),"")</f>
        <v/>
      </c>
    </row>
    <row r="350" spans="1:40" x14ac:dyDescent="0.2">
      <c r="A350" t="s">
        <v>571</v>
      </c>
      <c r="B350" t="s">
        <v>572</v>
      </c>
      <c r="C350">
        <v>12</v>
      </c>
      <c r="D350" t="s">
        <v>573</v>
      </c>
      <c r="E350" t="s">
        <v>576</v>
      </c>
      <c r="F350" t="s">
        <v>8</v>
      </c>
      <c r="G350" s="4" t="s">
        <v>1636</v>
      </c>
      <c r="H350" t="s">
        <v>830</v>
      </c>
      <c r="I350" t="s">
        <v>2386</v>
      </c>
      <c r="J350" t="s">
        <v>1439</v>
      </c>
      <c r="K350" t="s">
        <v>839</v>
      </c>
      <c r="L350" t="s">
        <v>1640</v>
      </c>
      <c r="M350" t="s">
        <v>890</v>
      </c>
      <c r="N350">
        <v>2018</v>
      </c>
      <c r="O350" t="s">
        <v>830</v>
      </c>
      <c r="P350" t="s">
        <v>890</v>
      </c>
      <c r="Q350" t="s">
        <v>830</v>
      </c>
      <c r="T350" t="s">
        <v>830</v>
      </c>
      <c r="U350" t="s">
        <v>830</v>
      </c>
      <c r="W350" t="s">
        <v>1676</v>
      </c>
      <c r="X350" t="s">
        <v>1654</v>
      </c>
      <c r="Y350" t="s">
        <v>830</v>
      </c>
      <c r="Z350">
        <v>3</v>
      </c>
      <c r="AA350">
        <v>1004</v>
      </c>
      <c r="AB350">
        <v>21.201000000000001</v>
      </c>
      <c r="AC350" t="str">
        <f t="shared" si="27"/>
        <v/>
      </c>
      <c r="AE350" t="str">
        <f t="shared" si="28"/>
        <v/>
      </c>
      <c r="AI350" t="str">
        <f t="shared" si="29"/>
        <v/>
      </c>
      <c r="AJ350" t="str">
        <f t="shared" si="30"/>
        <v/>
      </c>
      <c r="AN350" t="str">
        <f t="shared" si="31"/>
        <v/>
      </c>
    </row>
    <row r="351" spans="1:40" x14ac:dyDescent="0.2">
      <c r="A351" t="s">
        <v>571</v>
      </c>
      <c r="B351" t="s">
        <v>572</v>
      </c>
      <c r="C351">
        <v>13</v>
      </c>
      <c r="D351" t="s">
        <v>573</v>
      </c>
      <c r="E351" t="s">
        <v>576</v>
      </c>
      <c r="F351" t="s">
        <v>8</v>
      </c>
      <c r="G351" s="4" t="s">
        <v>1636</v>
      </c>
      <c r="H351" t="s">
        <v>830</v>
      </c>
      <c r="I351" t="s">
        <v>2386</v>
      </c>
      <c r="J351" t="s">
        <v>1438</v>
      </c>
      <c r="K351" t="s">
        <v>839</v>
      </c>
      <c r="L351" t="s">
        <v>1641</v>
      </c>
      <c r="M351" t="s">
        <v>1648</v>
      </c>
      <c r="N351">
        <v>2018</v>
      </c>
      <c r="O351" t="s">
        <v>830</v>
      </c>
      <c r="P351" t="s">
        <v>1646</v>
      </c>
      <c r="Q351" t="s">
        <v>830</v>
      </c>
      <c r="T351" t="s">
        <v>830</v>
      </c>
      <c r="U351" t="s">
        <v>830</v>
      </c>
      <c r="W351" t="s">
        <v>1676</v>
      </c>
      <c r="X351" t="s">
        <v>1655</v>
      </c>
      <c r="Y351" t="s">
        <v>830</v>
      </c>
      <c r="Z351">
        <v>3</v>
      </c>
      <c r="AA351">
        <v>1062</v>
      </c>
      <c r="AB351">
        <v>20</v>
      </c>
      <c r="AC351" t="str">
        <f t="shared" si="27"/>
        <v/>
      </c>
      <c r="AE351" t="str">
        <f t="shared" si="28"/>
        <v/>
      </c>
      <c r="AI351" t="str">
        <f t="shared" si="29"/>
        <v/>
      </c>
      <c r="AJ351" t="str">
        <f t="shared" si="30"/>
        <v/>
      </c>
      <c r="AN351" t="str">
        <f t="shared" si="31"/>
        <v/>
      </c>
    </row>
    <row r="352" spans="1:40" x14ac:dyDescent="0.2">
      <c r="A352" t="s">
        <v>571</v>
      </c>
      <c r="B352" t="s">
        <v>572</v>
      </c>
      <c r="C352">
        <v>20</v>
      </c>
      <c r="D352" t="s">
        <v>573</v>
      </c>
      <c r="E352" t="s">
        <v>574</v>
      </c>
      <c r="F352" t="s">
        <v>8</v>
      </c>
      <c r="G352" s="4" t="s">
        <v>1636</v>
      </c>
      <c r="H352" t="s">
        <v>830</v>
      </c>
      <c r="I352" t="s">
        <v>2386</v>
      </c>
      <c r="J352" t="s">
        <v>1453</v>
      </c>
      <c r="K352" t="s">
        <v>852</v>
      </c>
      <c r="L352" t="s">
        <v>1664</v>
      </c>
      <c r="M352" t="s">
        <v>891</v>
      </c>
      <c r="N352">
        <v>2012</v>
      </c>
      <c r="O352" t="s">
        <v>830</v>
      </c>
      <c r="P352" t="s">
        <v>890</v>
      </c>
      <c r="Q352" t="s">
        <v>830</v>
      </c>
      <c r="T352" t="s">
        <v>830</v>
      </c>
      <c r="U352" t="s">
        <v>830</v>
      </c>
      <c r="W352" t="s">
        <v>1730</v>
      </c>
      <c r="X352" t="s">
        <v>1665</v>
      </c>
      <c r="Y352" t="s">
        <v>830</v>
      </c>
      <c r="Z352">
        <v>3</v>
      </c>
      <c r="AA352">
        <v>3002</v>
      </c>
      <c r="AB352">
        <v>170</v>
      </c>
      <c r="AC352" t="str">
        <f t="shared" si="27"/>
        <v/>
      </c>
      <c r="AE352" t="str">
        <f t="shared" si="28"/>
        <v/>
      </c>
      <c r="AI352" t="str">
        <f t="shared" si="29"/>
        <v/>
      </c>
      <c r="AJ352" t="str">
        <f t="shared" si="30"/>
        <v/>
      </c>
      <c r="AN352" t="str">
        <f t="shared" si="31"/>
        <v/>
      </c>
    </row>
    <row r="353" spans="1:40" x14ac:dyDescent="0.2">
      <c r="A353" t="s">
        <v>571</v>
      </c>
      <c r="B353" t="s">
        <v>572</v>
      </c>
      <c r="C353">
        <v>22</v>
      </c>
      <c r="D353" t="s">
        <v>573</v>
      </c>
      <c r="E353" t="s">
        <v>576</v>
      </c>
      <c r="F353" t="s">
        <v>8</v>
      </c>
      <c r="G353" s="4" t="s">
        <v>1636</v>
      </c>
      <c r="H353" t="s">
        <v>830</v>
      </c>
      <c r="I353" t="s">
        <v>2386</v>
      </c>
      <c r="J353" t="s">
        <v>1441</v>
      </c>
      <c r="K353" t="s">
        <v>839</v>
      </c>
      <c r="L353" t="s">
        <v>1639</v>
      </c>
      <c r="M353" t="s">
        <v>890</v>
      </c>
      <c r="N353">
        <v>2018</v>
      </c>
      <c r="O353" t="s">
        <v>830</v>
      </c>
      <c r="P353" t="s">
        <v>890</v>
      </c>
      <c r="Q353" t="s">
        <v>830</v>
      </c>
      <c r="T353" t="s">
        <v>830</v>
      </c>
      <c r="U353" t="s">
        <v>830</v>
      </c>
      <c r="W353" t="s">
        <v>1676</v>
      </c>
      <c r="X353" t="s">
        <v>1652</v>
      </c>
      <c r="Y353" t="s">
        <v>830</v>
      </c>
      <c r="Z353">
        <v>3</v>
      </c>
      <c r="AA353">
        <v>1547</v>
      </c>
      <c r="AB353">
        <v>20</v>
      </c>
      <c r="AC353" t="str">
        <f t="shared" si="27"/>
        <v/>
      </c>
      <c r="AE353" t="str">
        <f t="shared" si="28"/>
        <v/>
      </c>
      <c r="AI353" t="str">
        <f t="shared" si="29"/>
        <v/>
      </c>
      <c r="AJ353" t="str">
        <f t="shared" si="30"/>
        <v/>
      </c>
      <c r="AN353" t="str">
        <f t="shared" si="31"/>
        <v/>
      </c>
    </row>
    <row r="354" spans="1:40" x14ac:dyDescent="0.2">
      <c r="A354" t="s">
        <v>571</v>
      </c>
      <c r="B354" t="s">
        <v>572</v>
      </c>
      <c r="C354">
        <v>23</v>
      </c>
      <c r="D354" t="s">
        <v>573</v>
      </c>
      <c r="E354" t="s">
        <v>576</v>
      </c>
      <c r="F354" t="s">
        <v>8</v>
      </c>
      <c r="G354" s="4" t="s">
        <v>1636</v>
      </c>
      <c r="H354" t="s">
        <v>830</v>
      </c>
      <c r="I354" t="s">
        <v>2386</v>
      </c>
      <c r="J354" t="s">
        <v>1440</v>
      </c>
      <c r="K354" t="s">
        <v>839</v>
      </c>
      <c r="L354" t="s">
        <v>1639</v>
      </c>
      <c r="M354" t="s">
        <v>890</v>
      </c>
      <c r="N354">
        <v>2018</v>
      </c>
      <c r="O354" t="s">
        <v>830</v>
      </c>
      <c r="P354" t="s">
        <v>890</v>
      </c>
      <c r="Q354" t="s">
        <v>830</v>
      </c>
      <c r="T354" t="s">
        <v>830</v>
      </c>
      <c r="U354" t="s">
        <v>830</v>
      </c>
      <c r="W354" t="s">
        <v>1676</v>
      </c>
      <c r="X354" t="s">
        <v>1653</v>
      </c>
      <c r="Y354" t="s">
        <v>830</v>
      </c>
      <c r="Z354">
        <v>3</v>
      </c>
      <c r="AA354">
        <v>1835</v>
      </c>
      <c r="AB354">
        <v>20</v>
      </c>
      <c r="AC354" t="str">
        <f t="shared" si="27"/>
        <v/>
      </c>
      <c r="AE354" t="str">
        <f t="shared" si="28"/>
        <v/>
      </c>
      <c r="AI354" t="str">
        <f t="shared" si="29"/>
        <v/>
      </c>
      <c r="AJ354" t="str">
        <f t="shared" si="30"/>
        <v/>
      </c>
      <c r="AN354" t="str">
        <f t="shared" si="31"/>
        <v/>
      </c>
    </row>
    <row r="355" spans="1:40" x14ac:dyDescent="0.2">
      <c r="A355" t="s">
        <v>571</v>
      </c>
      <c r="B355" t="s">
        <v>572</v>
      </c>
      <c r="C355">
        <v>31</v>
      </c>
      <c r="D355" t="s">
        <v>573</v>
      </c>
      <c r="E355" t="s">
        <v>576</v>
      </c>
      <c r="F355" t="s">
        <v>8</v>
      </c>
      <c r="G355" s="4" t="s">
        <v>1636</v>
      </c>
      <c r="H355" t="s">
        <v>830</v>
      </c>
      <c r="I355" t="s">
        <v>2386</v>
      </c>
      <c r="J355" t="s">
        <v>1437</v>
      </c>
      <c r="K355" t="s">
        <v>842</v>
      </c>
      <c r="L355" t="s">
        <v>1638</v>
      </c>
      <c r="M355" t="s">
        <v>890</v>
      </c>
      <c r="N355">
        <v>2018</v>
      </c>
      <c r="O355" t="s">
        <v>830</v>
      </c>
      <c r="P355" t="s">
        <v>890</v>
      </c>
      <c r="Q355" t="s">
        <v>830</v>
      </c>
      <c r="T355" t="s">
        <v>830</v>
      </c>
      <c r="U355" t="s">
        <v>830</v>
      </c>
      <c r="W355" t="s">
        <v>1730</v>
      </c>
      <c r="X355" t="s">
        <v>1651</v>
      </c>
      <c r="Y355" t="s">
        <v>830</v>
      </c>
      <c r="Z355">
        <v>3</v>
      </c>
      <c r="AA355">
        <v>455</v>
      </c>
      <c r="AB355">
        <v>23.103000000000002</v>
      </c>
      <c r="AC355" t="str">
        <f t="shared" si="27"/>
        <v/>
      </c>
      <c r="AE355" t="str">
        <f t="shared" si="28"/>
        <v/>
      </c>
      <c r="AI355" t="str">
        <f t="shared" si="29"/>
        <v/>
      </c>
      <c r="AJ355" t="str">
        <f t="shared" si="30"/>
        <v/>
      </c>
      <c r="AN355" t="str">
        <f t="shared" si="31"/>
        <v/>
      </c>
    </row>
    <row r="356" spans="1:40" x14ac:dyDescent="0.2">
      <c r="A356" t="s">
        <v>571</v>
      </c>
      <c r="B356" t="s">
        <v>572</v>
      </c>
      <c r="C356">
        <v>32</v>
      </c>
      <c r="D356" t="s">
        <v>573</v>
      </c>
      <c r="E356" t="s">
        <v>576</v>
      </c>
      <c r="F356" t="s">
        <v>8</v>
      </c>
      <c r="G356" s="4" t="s">
        <v>1636</v>
      </c>
      <c r="H356" t="s">
        <v>830</v>
      </c>
      <c r="I356" t="s">
        <v>2386</v>
      </c>
      <c r="J356" t="s">
        <v>1444</v>
      </c>
      <c r="K356" t="s">
        <v>839</v>
      </c>
      <c r="L356" t="s">
        <v>1642</v>
      </c>
      <c r="M356" t="s">
        <v>890</v>
      </c>
      <c r="N356">
        <v>2018</v>
      </c>
      <c r="O356" t="s">
        <v>830</v>
      </c>
      <c r="P356" t="s">
        <v>890</v>
      </c>
      <c r="Q356" t="s">
        <v>830</v>
      </c>
      <c r="T356" t="s">
        <v>830</v>
      </c>
      <c r="U356" t="s">
        <v>830</v>
      </c>
      <c r="W356" t="s">
        <v>1676</v>
      </c>
      <c r="X356" t="s">
        <v>1656</v>
      </c>
      <c r="Y356" t="s">
        <v>830</v>
      </c>
      <c r="Z356">
        <v>3</v>
      </c>
      <c r="AA356">
        <v>732</v>
      </c>
      <c r="AB356">
        <v>20</v>
      </c>
      <c r="AC356" t="str">
        <f t="shared" si="27"/>
        <v/>
      </c>
      <c r="AE356" t="str">
        <f t="shared" si="28"/>
        <v/>
      </c>
      <c r="AI356" t="str">
        <f t="shared" si="29"/>
        <v/>
      </c>
      <c r="AJ356" t="str">
        <f t="shared" si="30"/>
        <v/>
      </c>
      <c r="AN356" t="str">
        <f t="shared" si="31"/>
        <v/>
      </c>
    </row>
    <row r="357" spans="1:40" x14ac:dyDescent="0.2">
      <c r="A357" t="s">
        <v>571</v>
      </c>
      <c r="B357" t="s">
        <v>572</v>
      </c>
      <c r="C357">
        <v>33</v>
      </c>
      <c r="D357" t="s">
        <v>573</v>
      </c>
      <c r="E357" t="s">
        <v>576</v>
      </c>
      <c r="F357" t="s">
        <v>8</v>
      </c>
      <c r="G357" s="4" t="s">
        <v>1636</v>
      </c>
      <c r="H357" t="s">
        <v>830</v>
      </c>
      <c r="I357" t="s">
        <v>2386</v>
      </c>
      <c r="J357" t="s">
        <v>1442</v>
      </c>
      <c r="K357" t="s">
        <v>839</v>
      </c>
      <c r="L357" t="s">
        <v>1643</v>
      </c>
      <c r="M357" t="s">
        <v>890</v>
      </c>
      <c r="N357">
        <v>2018</v>
      </c>
      <c r="O357" t="s">
        <v>830</v>
      </c>
      <c r="P357" t="s">
        <v>890</v>
      </c>
      <c r="Q357" t="s">
        <v>830</v>
      </c>
      <c r="T357" t="s">
        <v>830</v>
      </c>
      <c r="U357" t="s">
        <v>830</v>
      </c>
      <c r="W357" t="s">
        <v>1676</v>
      </c>
      <c r="X357" t="s">
        <v>1657</v>
      </c>
      <c r="Y357" t="s">
        <v>830</v>
      </c>
      <c r="Z357">
        <v>3</v>
      </c>
      <c r="AA357">
        <v>808</v>
      </c>
      <c r="AB357">
        <v>20</v>
      </c>
      <c r="AC357" t="str">
        <f t="shared" si="27"/>
        <v/>
      </c>
      <c r="AE357" t="str">
        <f t="shared" si="28"/>
        <v/>
      </c>
      <c r="AI357" t="str">
        <f t="shared" si="29"/>
        <v/>
      </c>
      <c r="AJ357" t="str">
        <f t="shared" si="30"/>
        <v/>
      </c>
      <c r="AN357" t="str">
        <f t="shared" si="31"/>
        <v/>
      </c>
    </row>
    <row r="358" spans="1:40" x14ac:dyDescent="0.2">
      <c r="A358" t="s">
        <v>571</v>
      </c>
      <c r="B358" t="s">
        <v>572</v>
      </c>
      <c r="C358">
        <v>42</v>
      </c>
      <c r="D358" t="s">
        <v>573</v>
      </c>
      <c r="E358" t="s">
        <v>576</v>
      </c>
      <c r="F358" t="s">
        <v>8</v>
      </c>
      <c r="G358" s="4" t="s">
        <v>1636</v>
      </c>
      <c r="H358" t="s">
        <v>830</v>
      </c>
      <c r="I358" t="s">
        <v>2386</v>
      </c>
      <c r="J358" t="s">
        <v>1445</v>
      </c>
      <c r="K358" t="s">
        <v>839</v>
      </c>
      <c r="L358" t="s">
        <v>1644</v>
      </c>
      <c r="M358" t="s">
        <v>890</v>
      </c>
      <c r="N358">
        <v>2018</v>
      </c>
      <c r="O358" t="s">
        <v>830</v>
      </c>
      <c r="P358" t="s">
        <v>890</v>
      </c>
      <c r="Q358" t="s">
        <v>830</v>
      </c>
      <c r="T358" t="s">
        <v>830</v>
      </c>
      <c r="U358" t="s">
        <v>830</v>
      </c>
      <c r="W358" t="s">
        <v>1676</v>
      </c>
      <c r="X358" t="s">
        <v>1649</v>
      </c>
      <c r="Y358" t="s">
        <v>1598</v>
      </c>
      <c r="Z358">
        <v>3</v>
      </c>
      <c r="AA358">
        <v>732</v>
      </c>
      <c r="AB358">
        <v>20</v>
      </c>
      <c r="AC358" t="str">
        <f t="shared" si="27"/>
        <v/>
      </c>
      <c r="AE358" t="str">
        <f t="shared" si="28"/>
        <v/>
      </c>
      <c r="AI358" t="str">
        <f t="shared" si="29"/>
        <v/>
      </c>
      <c r="AJ358" t="str">
        <f t="shared" si="30"/>
        <v/>
      </c>
      <c r="AN358" t="str">
        <f t="shared" si="31"/>
        <v/>
      </c>
    </row>
    <row r="359" spans="1:40" x14ac:dyDescent="0.2">
      <c r="A359" t="s">
        <v>571</v>
      </c>
      <c r="B359" t="s">
        <v>572</v>
      </c>
      <c r="C359">
        <v>43</v>
      </c>
      <c r="D359" t="s">
        <v>573</v>
      </c>
      <c r="E359" t="s">
        <v>576</v>
      </c>
      <c r="F359" t="s">
        <v>8</v>
      </c>
      <c r="G359" s="4" t="s">
        <v>1636</v>
      </c>
      <c r="H359" t="s">
        <v>830</v>
      </c>
      <c r="I359" t="s">
        <v>2386</v>
      </c>
      <c r="J359" t="s">
        <v>1443</v>
      </c>
      <c r="K359" t="s">
        <v>839</v>
      </c>
      <c r="L359" t="s">
        <v>1645</v>
      </c>
      <c r="M359" t="s">
        <v>890</v>
      </c>
      <c r="N359">
        <v>2018</v>
      </c>
      <c r="O359" t="s">
        <v>830</v>
      </c>
      <c r="P359" t="s">
        <v>890</v>
      </c>
      <c r="Q359" t="s">
        <v>830</v>
      </c>
      <c r="T359" t="s">
        <v>830</v>
      </c>
      <c r="U359" t="s">
        <v>830</v>
      </c>
      <c r="W359" t="s">
        <v>1676</v>
      </c>
      <c r="X359" t="s">
        <v>1649</v>
      </c>
      <c r="Y359" t="s">
        <v>1598</v>
      </c>
      <c r="Z359">
        <v>3</v>
      </c>
      <c r="AA359">
        <v>808</v>
      </c>
      <c r="AB359">
        <v>20</v>
      </c>
      <c r="AC359" t="str">
        <f t="shared" si="27"/>
        <v/>
      </c>
      <c r="AE359" t="str">
        <f t="shared" si="28"/>
        <v/>
      </c>
      <c r="AI359" t="str">
        <f t="shared" si="29"/>
        <v/>
      </c>
      <c r="AJ359" t="str">
        <f t="shared" si="30"/>
        <v/>
      </c>
      <c r="AN359" t="str">
        <f t="shared" si="31"/>
        <v/>
      </c>
    </row>
    <row r="360" spans="1:40" x14ac:dyDescent="0.2">
      <c r="A360" t="s">
        <v>1019</v>
      </c>
      <c r="B360" t="s">
        <v>1474</v>
      </c>
      <c r="C360">
        <v>10</v>
      </c>
      <c r="D360" t="s">
        <v>1020</v>
      </c>
      <c r="E360" t="s">
        <v>1021</v>
      </c>
      <c r="G360" t="s">
        <v>1022</v>
      </c>
      <c r="H360" t="s">
        <v>830</v>
      </c>
      <c r="I360" t="s">
        <v>1952</v>
      </c>
      <c r="J360" t="s">
        <v>1471</v>
      </c>
      <c r="K360" t="s">
        <v>1023</v>
      </c>
      <c r="L360" t="s">
        <v>1472</v>
      </c>
      <c r="M360" t="s">
        <v>2115</v>
      </c>
      <c r="N360" t="s">
        <v>2118</v>
      </c>
      <c r="O360" t="s">
        <v>830</v>
      </c>
      <c r="P360" t="s">
        <v>2114</v>
      </c>
      <c r="Q360" t="s">
        <v>830</v>
      </c>
      <c r="R360" t="s">
        <v>830</v>
      </c>
      <c r="S360" t="s">
        <v>1589</v>
      </c>
      <c r="T360" t="s">
        <v>830</v>
      </c>
      <c r="U360" t="s">
        <v>830</v>
      </c>
      <c r="W360" t="s">
        <v>2110</v>
      </c>
      <c r="X360" t="s">
        <v>2120</v>
      </c>
      <c r="Y360" t="s">
        <v>830</v>
      </c>
      <c r="Z360">
        <v>1</v>
      </c>
      <c r="AA360">
        <v>2879</v>
      </c>
      <c r="AB360">
        <v>35.917000000000002</v>
      </c>
      <c r="AC360" t="str">
        <f t="shared" si="27"/>
        <v>SULDAZ</v>
      </c>
      <c r="AD360" t="s">
        <v>1020</v>
      </c>
      <c r="AE360" t="str">
        <f t="shared" si="28"/>
        <v>Sulfadiazine</v>
      </c>
      <c r="AF360" t="str">
        <f>AE360</f>
        <v>Sulfadiazine</v>
      </c>
      <c r="AG360" s="15" t="s">
        <v>2894</v>
      </c>
      <c r="AH360" t="s">
        <v>3006</v>
      </c>
      <c r="AI360" t="str">
        <f t="shared" si="29"/>
        <v>CSD,version,6.01</v>
      </c>
      <c r="AJ360" t="str">
        <f t="shared" si="30"/>
        <v>C10,H10,N4,O2,S1</v>
      </c>
      <c r="AL360">
        <v>1</v>
      </c>
      <c r="AM360">
        <v>2</v>
      </c>
      <c r="AN360" t="str">
        <f>IF(AM360&lt;&gt;"",CONCATENATE(AC360," &amp; \ce{",SUBSTITUTE(AJ360,","," "),"} &amp; ",SUBSTITUTE(AF360,"."," ")," &amp; ",AL360," &amp; ",AM360," \\"),"")</f>
        <v>SULDAZ &amp; \ce{C10 H10 N4 O2 S1} &amp; Sulfadiazine &amp; 1 &amp; 2 \\</v>
      </c>
    </row>
    <row r="361" spans="1:40" x14ac:dyDescent="0.2">
      <c r="A361" t="s">
        <v>1019</v>
      </c>
      <c r="B361" t="s">
        <v>1474</v>
      </c>
      <c r="C361">
        <v>20</v>
      </c>
      <c r="D361" t="s">
        <v>1020</v>
      </c>
      <c r="E361" t="s">
        <v>1021</v>
      </c>
      <c r="G361" t="s">
        <v>1022</v>
      </c>
      <c r="H361" t="s">
        <v>830</v>
      </c>
      <c r="I361" t="s">
        <v>1952</v>
      </c>
      <c r="J361" t="s">
        <v>1026</v>
      </c>
      <c r="K361" t="s">
        <v>1023</v>
      </c>
      <c r="L361" t="s">
        <v>1005</v>
      </c>
      <c r="M361" t="s">
        <v>1025</v>
      </c>
      <c r="N361" t="s">
        <v>1024</v>
      </c>
      <c r="O361" t="s">
        <v>830</v>
      </c>
      <c r="P361" t="s">
        <v>891</v>
      </c>
      <c r="Q361" t="s">
        <v>830</v>
      </c>
      <c r="S361" t="s">
        <v>891</v>
      </c>
      <c r="T361" t="s">
        <v>830</v>
      </c>
      <c r="U361" t="s">
        <v>830</v>
      </c>
      <c r="W361" t="s">
        <v>2110</v>
      </c>
      <c r="X361" t="s">
        <v>2119</v>
      </c>
      <c r="Y361" t="s">
        <v>830</v>
      </c>
      <c r="Z361">
        <v>1</v>
      </c>
      <c r="AA361">
        <v>5823</v>
      </c>
      <c r="AB361">
        <v>30.513999999999999</v>
      </c>
      <c r="AC361" t="str">
        <f t="shared" si="27"/>
        <v/>
      </c>
      <c r="AE361" t="str">
        <f t="shared" si="28"/>
        <v/>
      </c>
      <c r="AI361" t="str">
        <f t="shared" si="29"/>
        <v/>
      </c>
      <c r="AJ361" t="str">
        <f t="shared" si="30"/>
        <v/>
      </c>
      <c r="AN361" t="str">
        <f>IF(AM361&lt;&gt;"",CONCATENATE(AC361," &amp; ",SUBSTITUTE(AJ361,","," ")," &amp; ",SUBSTITUTE(AF361,"."," ")," &amp; ",AL361," &amp; ",AM361," \\"),"")</f>
        <v/>
      </c>
    </row>
    <row r="362" spans="1:40" x14ac:dyDescent="0.2">
      <c r="A362" t="s">
        <v>577</v>
      </c>
      <c r="B362" t="s">
        <v>578</v>
      </c>
      <c r="C362">
        <v>0</v>
      </c>
      <c r="D362" t="s">
        <v>579</v>
      </c>
      <c r="E362" t="s">
        <v>580</v>
      </c>
      <c r="F362" t="s">
        <v>579</v>
      </c>
      <c r="G362" t="s">
        <v>2482</v>
      </c>
      <c r="H362" t="s">
        <v>830</v>
      </c>
      <c r="I362" t="s">
        <v>2385</v>
      </c>
      <c r="J362" t="s">
        <v>1234</v>
      </c>
      <c r="K362" t="s">
        <v>846</v>
      </c>
      <c r="L362" t="s">
        <v>1553</v>
      </c>
      <c r="M362" t="s">
        <v>908</v>
      </c>
      <c r="N362">
        <v>2004</v>
      </c>
      <c r="O362" t="s">
        <v>830</v>
      </c>
      <c r="P362" t="s">
        <v>2500</v>
      </c>
      <c r="Q362" t="s">
        <v>830</v>
      </c>
      <c r="T362" t="s">
        <v>830</v>
      </c>
      <c r="U362" t="s">
        <v>830</v>
      </c>
      <c r="W362" t="s">
        <v>2499</v>
      </c>
      <c r="X362" t="s">
        <v>2501</v>
      </c>
      <c r="Y362" t="s">
        <v>830</v>
      </c>
      <c r="Z362">
        <v>1</v>
      </c>
      <c r="AA362">
        <v>17</v>
      </c>
      <c r="AB362">
        <v>4.68</v>
      </c>
      <c r="AC362" t="str">
        <f t="shared" si="27"/>
        <v>TCLBEN</v>
      </c>
      <c r="AD362" t="s">
        <v>579</v>
      </c>
      <c r="AE362" t="str">
        <f t="shared" si="28"/>
        <v>Tetrachlorobenzene</v>
      </c>
      <c r="AF362" t="str">
        <f>AE362</f>
        <v>Tetrachlorobenzene</v>
      </c>
      <c r="AG362" s="15" t="s">
        <v>2889</v>
      </c>
      <c r="AH362" t="s">
        <v>2884</v>
      </c>
      <c r="AI362" t="str">
        <f t="shared" si="29"/>
        <v>CSD,version,6.01,with,Feb,2026,update</v>
      </c>
      <c r="AJ362" t="str">
        <f t="shared" si="30"/>
        <v>C6,H2,Cl4</v>
      </c>
      <c r="AL362">
        <v>1</v>
      </c>
      <c r="AM362">
        <v>1</v>
      </c>
      <c r="AN362" t="str">
        <f>IF(AM362&lt;&gt;"",CONCATENATE(AC362," &amp; \ce{",SUBSTITUTE(AJ362,","," "),"} &amp; ",SUBSTITUTE(AF362,"."," ")," &amp; ",AL362," &amp; ",AM362," \\"),"")</f>
        <v>TCLBEN &amp; \ce{C6 H2 Cl4} &amp; Tetrachlorobenzene &amp; 1 &amp; 1 \\</v>
      </c>
    </row>
    <row r="363" spans="1:40" x14ac:dyDescent="0.2">
      <c r="A363" t="s">
        <v>581</v>
      </c>
      <c r="B363" t="s">
        <v>582</v>
      </c>
      <c r="C363">
        <v>0</v>
      </c>
      <c r="D363" t="s">
        <v>583</v>
      </c>
      <c r="E363" t="s">
        <v>584</v>
      </c>
      <c r="F363" t="s">
        <v>8</v>
      </c>
      <c r="G363" t="s">
        <v>2441</v>
      </c>
      <c r="H363" t="s">
        <v>830</v>
      </c>
      <c r="I363" t="s">
        <v>2385</v>
      </c>
      <c r="J363" t="s">
        <v>1085</v>
      </c>
      <c r="K363" t="s">
        <v>846</v>
      </c>
      <c r="L363" t="s">
        <v>1553</v>
      </c>
      <c r="M363" t="s">
        <v>876</v>
      </c>
      <c r="N363" t="s">
        <v>1876</v>
      </c>
      <c r="O363" t="s">
        <v>830</v>
      </c>
      <c r="P363" t="s">
        <v>877</v>
      </c>
      <c r="Q363" t="s">
        <v>830</v>
      </c>
      <c r="T363" t="s">
        <v>830</v>
      </c>
      <c r="U363" t="s">
        <v>830</v>
      </c>
      <c r="W363" t="s">
        <v>2479</v>
      </c>
      <c r="X363" t="s">
        <v>2468</v>
      </c>
      <c r="Y363" t="s">
        <v>830</v>
      </c>
      <c r="Z363">
        <v>2</v>
      </c>
      <c r="AA363">
        <v>155</v>
      </c>
      <c r="AB363">
        <v>20</v>
      </c>
      <c r="AC363" t="str">
        <f t="shared" si="27"/>
        <v>TEPNIT</v>
      </c>
      <c r="AD363" t="s">
        <v>3130</v>
      </c>
      <c r="AE363" t="str">
        <f t="shared" si="28"/>
        <v>Dicyanobenzene</v>
      </c>
      <c r="AF363" t="str">
        <f>AE363</f>
        <v>Dicyanobenzene</v>
      </c>
      <c r="AG363" s="15" t="s">
        <v>2889</v>
      </c>
      <c r="AH363" t="s">
        <v>3135</v>
      </c>
      <c r="AI363" t="str">
        <f t="shared" si="29"/>
        <v>CSD,version,6.01,with,Feb,2026,update</v>
      </c>
      <c r="AJ363" t="str">
        <f t="shared" si="30"/>
        <v>C8,H4,N2</v>
      </c>
      <c r="AL363">
        <v>3</v>
      </c>
      <c r="AM363">
        <v>3</v>
      </c>
      <c r="AN363" t="str">
        <f>IF(AM363&lt;&gt;"",CONCATENATE(AC363," &amp; \ce{",SUBSTITUTE(AJ363,","," "),"} &amp; ",SUBSTITUTE(AF363,"."," ")," &amp; ",AL363," &amp; ",AM363," \\"),"")</f>
        <v>TEPNIT &amp; \ce{C8 H4 N2} &amp; Dicyanobenzene &amp; 3 &amp; 3 \\</v>
      </c>
    </row>
    <row r="364" spans="1:40" x14ac:dyDescent="0.2">
      <c r="A364" t="s">
        <v>581</v>
      </c>
      <c r="B364" t="s">
        <v>582</v>
      </c>
      <c r="C364">
        <v>1</v>
      </c>
      <c r="D364" t="s">
        <v>583</v>
      </c>
      <c r="E364" t="s">
        <v>584</v>
      </c>
      <c r="F364" t="s">
        <v>8</v>
      </c>
      <c r="G364" t="s">
        <v>2441</v>
      </c>
      <c r="H364" t="s">
        <v>830</v>
      </c>
      <c r="I364" t="s">
        <v>2385</v>
      </c>
      <c r="J364" t="s">
        <v>1086</v>
      </c>
      <c r="K364" t="s">
        <v>846</v>
      </c>
      <c r="L364" t="s">
        <v>2442</v>
      </c>
      <c r="M364" t="s">
        <v>876</v>
      </c>
      <c r="N364" t="s">
        <v>1876</v>
      </c>
      <c r="O364" t="s">
        <v>830</v>
      </c>
      <c r="P364" t="s">
        <v>877</v>
      </c>
      <c r="Q364" t="s">
        <v>830</v>
      </c>
      <c r="T364" t="s">
        <v>830</v>
      </c>
      <c r="U364" t="s">
        <v>830</v>
      </c>
      <c r="W364" t="s">
        <v>2479</v>
      </c>
      <c r="X364" t="s">
        <v>2469</v>
      </c>
      <c r="Y364" t="s">
        <v>830</v>
      </c>
      <c r="Z364">
        <v>2</v>
      </c>
      <c r="AA364">
        <v>112</v>
      </c>
      <c r="AB364">
        <v>44.34</v>
      </c>
      <c r="AC364" t="str">
        <f t="shared" si="27"/>
        <v/>
      </c>
      <c r="AE364" t="str">
        <f t="shared" si="28"/>
        <v/>
      </c>
      <c r="AI364" t="str">
        <f t="shared" si="29"/>
        <v/>
      </c>
      <c r="AJ364" t="str">
        <f t="shared" si="30"/>
        <v/>
      </c>
      <c r="AN364" t="str">
        <f>IF(AM364&lt;&gt;"",CONCATENATE(AC364," &amp; ",SUBSTITUTE(AJ364,","," ")," &amp; ",SUBSTITUTE(AF364,"."," ")," &amp; ",AL364," &amp; ",AM364," \\"),"")</f>
        <v/>
      </c>
    </row>
    <row r="365" spans="1:40" x14ac:dyDescent="0.2">
      <c r="A365" t="s">
        <v>581</v>
      </c>
      <c r="B365" t="s">
        <v>582</v>
      </c>
      <c r="C365">
        <v>20</v>
      </c>
      <c r="D365" t="s">
        <v>584</v>
      </c>
      <c r="E365" t="s">
        <v>584</v>
      </c>
      <c r="F365" t="s">
        <v>8</v>
      </c>
      <c r="G365" t="s">
        <v>2441</v>
      </c>
      <c r="H365" t="s">
        <v>830</v>
      </c>
      <c r="I365" t="s">
        <v>2385</v>
      </c>
      <c r="J365" t="s">
        <v>1450</v>
      </c>
      <c r="K365" t="s">
        <v>852</v>
      </c>
      <c r="L365" t="s">
        <v>2436</v>
      </c>
      <c r="M365" t="s">
        <v>2446</v>
      </c>
      <c r="N365">
        <v>2012</v>
      </c>
      <c r="O365" t="s">
        <v>830</v>
      </c>
      <c r="P365" t="s">
        <v>2440</v>
      </c>
      <c r="Q365" t="s">
        <v>830</v>
      </c>
      <c r="T365" t="s">
        <v>830</v>
      </c>
      <c r="U365" t="s">
        <v>830</v>
      </c>
      <c r="W365" t="s">
        <v>2479</v>
      </c>
      <c r="X365" t="s">
        <v>2478</v>
      </c>
      <c r="Y365" t="s">
        <v>830</v>
      </c>
      <c r="Z365">
        <v>2</v>
      </c>
      <c r="AA365">
        <v>1207</v>
      </c>
      <c r="AB365">
        <v>30</v>
      </c>
      <c r="AC365" t="str">
        <f t="shared" si="27"/>
        <v/>
      </c>
      <c r="AE365" t="str">
        <f t="shared" si="28"/>
        <v/>
      </c>
      <c r="AI365" t="str">
        <f t="shared" si="29"/>
        <v/>
      </c>
      <c r="AJ365" t="str">
        <f t="shared" si="30"/>
        <v/>
      </c>
      <c r="AN365" t="str">
        <f>IF(AM365&lt;&gt;"",CONCATENATE(AC365," &amp; ",SUBSTITUTE(AJ365,","," ")," &amp; ",SUBSTITUTE(AF365,"."," ")," &amp; ",AL365," &amp; ",AM365," \\"),"")</f>
        <v/>
      </c>
    </row>
    <row r="366" spans="1:40" x14ac:dyDescent="0.2">
      <c r="A366" t="s">
        <v>585</v>
      </c>
      <c r="B366" t="s">
        <v>586</v>
      </c>
      <c r="C366">
        <v>10</v>
      </c>
      <c r="D366" t="s">
        <v>587</v>
      </c>
      <c r="E366" t="s">
        <v>588</v>
      </c>
      <c r="F366" t="s">
        <v>8</v>
      </c>
      <c r="G366" t="s">
        <v>2783</v>
      </c>
      <c r="H366" s="4" t="s">
        <v>830</v>
      </c>
      <c r="I366" t="s">
        <v>2385</v>
      </c>
      <c r="J366" t="s">
        <v>1464</v>
      </c>
      <c r="K366" t="s">
        <v>851</v>
      </c>
      <c r="L366" s="4" t="s">
        <v>2809</v>
      </c>
      <c r="M366" t="s">
        <v>887</v>
      </c>
      <c r="N366">
        <v>2012</v>
      </c>
      <c r="O366" t="s">
        <v>830</v>
      </c>
      <c r="P366" s="4" t="s">
        <v>887</v>
      </c>
      <c r="Q366" s="4" t="s">
        <v>830</v>
      </c>
      <c r="T366" t="s">
        <v>830</v>
      </c>
      <c r="U366" t="s">
        <v>830</v>
      </c>
      <c r="W366" t="s">
        <v>2836</v>
      </c>
      <c r="X366" s="4" t="s">
        <v>2812</v>
      </c>
      <c r="Y366" s="4" t="s">
        <v>830</v>
      </c>
      <c r="Z366">
        <v>2</v>
      </c>
      <c r="AA366">
        <v>125</v>
      </c>
      <c r="AB366">
        <v>6.0339999999999998</v>
      </c>
      <c r="AC366" t="str">
        <f t="shared" si="27"/>
        <v>TETROL</v>
      </c>
      <c r="AD366" t="s">
        <v>3279</v>
      </c>
      <c r="AE366" t="str">
        <f t="shared" si="28"/>
        <v>TetrolicAcid</v>
      </c>
      <c r="AF366" t="s">
        <v>3241</v>
      </c>
      <c r="AG366" s="15" t="s">
        <v>2887</v>
      </c>
      <c r="AH366" t="s">
        <v>3266</v>
      </c>
      <c r="AI366" t="str">
        <f t="shared" si="29"/>
        <v>CSD,version,6.01,with,Feb,2026,update</v>
      </c>
      <c r="AJ366" t="str">
        <f t="shared" si="30"/>
        <v>C4,H4,O2</v>
      </c>
      <c r="AL366">
        <v>1</v>
      </c>
      <c r="AM366">
        <v>2</v>
      </c>
      <c r="AN366" t="str">
        <f>IF(AM366&lt;&gt;"",CONCATENATE(AC366," &amp; \ce{",SUBSTITUTE(AJ366,","," "),"} &amp; ",SUBSTITUTE(AF366,"."," ")," &amp; ",AL366," &amp; ",AM366," \\"),"")</f>
        <v>TETROL &amp; \ce{C4 H4 O2} &amp; Tetrolic Acid &amp; 1 &amp; 2 \\</v>
      </c>
    </row>
    <row r="367" spans="1:40" x14ac:dyDescent="0.2">
      <c r="A367" t="s">
        <v>585</v>
      </c>
      <c r="B367" t="s">
        <v>586</v>
      </c>
      <c r="C367">
        <v>30</v>
      </c>
      <c r="D367" t="s">
        <v>587</v>
      </c>
      <c r="E367" t="s">
        <v>588</v>
      </c>
      <c r="F367" t="s">
        <v>8</v>
      </c>
      <c r="G367" t="s">
        <v>2783</v>
      </c>
      <c r="H367" s="4" t="s">
        <v>830</v>
      </c>
      <c r="I367" t="s">
        <v>2385</v>
      </c>
      <c r="J367" t="s">
        <v>1465</v>
      </c>
      <c r="K367" t="s">
        <v>851</v>
      </c>
      <c r="L367" t="s">
        <v>2244</v>
      </c>
      <c r="M367" t="s">
        <v>2598</v>
      </c>
      <c r="N367">
        <v>2012</v>
      </c>
      <c r="O367" t="s">
        <v>830</v>
      </c>
      <c r="P367" s="4" t="s">
        <v>2810</v>
      </c>
      <c r="Q367" s="4" t="s">
        <v>830</v>
      </c>
      <c r="T367" s="4" t="s">
        <v>830</v>
      </c>
      <c r="U367" s="4" t="s">
        <v>830</v>
      </c>
      <c r="W367" t="s">
        <v>2836</v>
      </c>
      <c r="X367" s="4" t="s">
        <v>2811</v>
      </c>
      <c r="Y367" s="4" t="s">
        <v>830</v>
      </c>
      <c r="Z367">
        <v>2</v>
      </c>
      <c r="AA367">
        <v>418</v>
      </c>
      <c r="AB367">
        <v>26.4</v>
      </c>
      <c r="AC367" t="str">
        <f t="shared" si="27"/>
        <v/>
      </c>
      <c r="AE367" t="str">
        <f t="shared" si="28"/>
        <v/>
      </c>
      <c r="AI367" t="str">
        <f t="shared" si="29"/>
        <v/>
      </c>
      <c r="AJ367" t="str">
        <f t="shared" si="30"/>
        <v/>
      </c>
      <c r="AN367" t="str">
        <f>IF(AM367&lt;&gt;"",CONCATENATE(AC367," &amp; ",SUBSTITUTE(AJ367,","," ")," &amp; ",SUBSTITUTE(AF367,"."," ")," &amp; ",AL367," &amp; ",AM367," \\"),"")</f>
        <v/>
      </c>
    </row>
    <row r="368" spans="1:40" x14ac:dyDescent="0.2">
      <c r="A368" t="s">
        <v>589</v>
      </c>
      <c r="B368" t="s">
        <v>590</v>
      </c>
      <c r="C368">
        <v>0</v>
      </c>
      <c r="D368" t="s">
        <v>591</v>
      </c>
      <c r="E368" t="s">
        <v>592</v>
      </c>
      <c r="F368" t="s">
        <v>8</v>
      </c>
      <c r="G368" t="s">
        <v>1478</v>
      </c>
      <c r="H368" t="s">
        <v>830</v>
      </c>
      <c r="I368" t="s">
        <v>1952</v>
      </c>
      <c r="J368" t="s">
        <v>1173</v>
      </c>
      <c r="K368" t="s">
        <v>839</v>
      </c>
      <c r="L368" t="s">
        <v>1553</v>
      </c>
      <c r="M368" t="s">
        <v>876</v>
      </c>
      <c r="N368">
        <v>2010</v>
      </c>
      <c r="O368" t="s">
        <v>830</v>
      </c>
      <c r="P368" t="s">
        <v>891</v>
      </c>
      <c r="Q368" t="s">
        <v>830</v>
      </c>
      <c r="T368" t="s">
        <v>830</v>
      </c>
      <c r="U368" t="s">
        <v>830</v>
      </c>
      <c r="W368" t="s">
        <v>1957</v>
      </c>
      <c r="X368" t="s">
        <v>2875</v>
      </c>
      <c r="Y368" t="s">
        <v>830</v>
      </c>
      <c r="Z368">
        <v>2</v>
      </c>
      <c r="AA368">
        <v>74</v>
      </c>
      <c r="AB368">
        <v>14.67</v>
      </c>
      <c r="AC368" t="str">
        <f t="shared" si="27"/>
        <v>TEVSOD</v>
      </c>
      <c r="AD368" s="4" t="s">
        <v>3068</v>
      </c>
      <c r="AE368" t="str">
        <f t="shared" si="28"/>
        <v>Cyheptamide</v>
      </c>
      <c r="AF368" t="str">
        <f>AE368</f>
        <v>Cyheptamide</v>
      </c>
      <c r="AG368" s="15" t="s">
        <v>3062</v>
      </c>
      <c r="AH368" t="s">
        <v>3066</v>
      </c>
      <c r="AI368" t="str">
        <f t="shared" si="29"/>
        <v>CSD,version,6.01</v>
      </c>
      <c r="AJ368" t="str">
        <f t="shared" si="30"/>
        <v>C16,H15,N1,O1</v>
      </c>
      <c r="AK368" t="s">
        <v>3418</v>
      </c>
      <c r="AL368">
        <v>2</v>
      </c>
      <c r="AM368">
        <v>3</v>
      </c>
      <c r="AN368" t="str">
        <f>IF(AM368&lt;&gt;"",CONCATENATE(AC368," &amp; \ce{",SUBSTITUTE(AJ368,","," "),"} &amp; ",SUBSTITUTE(AF368,"."," ")," &amp; ",AL368," &amp; ",AM368," \\"),"")</f>
        <v>TEVSOD &amp; \ce{C16 H15 N1 O1} &amp; Cyheptamide &amp; 2 &amp; 3 \\</v>
      </c>
    </row>
    <row r="369" spans="1:40" x14ac:dyDescent="0.2">
      <c r="A369" t="s">
        <v>589</v>
      </c>
      <c r="B369" t="s">
        <v>590</v>
      </c>
      <c r="C369">
        <v>10</v>
      </c>
      <c r="D369" t="s">
        <v>591</v>
      </c>
      <c r="E369" t="s">
        <v>593</v>
      </c>
      <c r="F369" t="s">
        <v>8</v>
      </c>
      <c r="G369" s="4" t="s">
        <v>1478</v>
      </c>
      <c r="H369" t="s">
        <v>830</v>
      </c>
      <c r="I369" t="s">
        <v>1477</v>
      </c>
      <c r="J369" t="s">
        <v>1325</v>
      </c>
      <c r="K369" t="s">
        <v>847</v>
      </c>
      <c r="L369" t="s">
        <v>1481</v>
      </c>
      <c r="M369" t="s">
        <v>915</v>
      </c>
      <c r="N369">
        <v>2013</v>
      </c>
      <c r="O369" t="s">
        <v>830</v>
      </c>
      <c r="P369" t="s">
        <v>1495</v>
      </c>
      <c r="Q369" t="s">
        <v>830</v>
      </c>
      <c r="R369" t="s">
        <v>931</v>
      </c>
      <c r="S369" t="s">
        <v>1479</v>
      </c>
      <c r="T369" t="s">
        <v>830</v>
      </c>
      <c r="U369" t="s">
        <v>830</v>
      </c>
      <c r="W369" t="s">
        <v>1957</v>
      </c>
      <c r="X369" t="s">
        <v>2876</v>
      </c>
      <c r="Y369" t="s">
        <v>830</v>
      </c>
      <c r="Z369">
        <v>3</v>
      </c>
      <c r="AA369">
        <v>1314</v>
      </c>
      <c r="AB369">
        <v>30.925999999999998</v>
      </c>
      <c r="AC369" t="str">
        <f t="shared" si="27"/>
        <v/>
      </c>
      <c r="AE369" t="str">
        <f t="shared" si="28"/>
        <v/>
      </c>
      <c r="AI369" t="str">
        <f t="shared" si="29"/>
        <v/>
      </c>
      <c r="AJ369" t="str">
        <f t="shared" si="30"/>
        <v/>
      </c>
      <c r="AN369" t="str">
        <f t="shared" ref="AN369:AN376" si="32">IF(AM369&lt;&gt;"",CONCATENATE(AC369," &amp; ",SUBSTITUTE(AJ369,","," ")," &amp; ",SUBSTITUTE(AF369,"."," ")," &amp; ",AL369," &amp; ",AM369," \\"),"")</f>
        <v/>
      </c>
    </row>
    <row r="370" spans="1:40" x14ac:dyDescent="0.2">
      <c r="A370" t="s">
        <v>589</v>
      </c>
      <c r="B370" t="s">
        <v>590</v>
      </c>
      <c r="C370">
        <v>30</v>
      </c>
      <c r="D370" t="s">
        <v>591</v>
      </c>
      <c r="E370" t="s">
        <v>593</v>
      </c>
      <c r="F370" t="s">
        <v>8</v>
      </c>
      <c r="G370" s="4" t="s">
        <v>1478</v>
      </c>
      <c r="H370" t="s">
        <v>830</v>
      </c>
      <c r="I370" t="s">
        <v>1477</v>
      </c>
      <c r="J370" t="s">
        <v>1326</v>
      </c>
      <c r="K370" t="s">
        <v>847</v>
      </c>
      <c r="L370" t="s">
        <v>1480</v>
      </c>
      <c r="M370" t="s">
        <v>891</v>
      </c>
      <c r="N370">
        <v>2013</v>
      </c>
      <c r="O370" t="s">
        <v>830</v>
      </c>
      <c r="P370" t="s">
        <v>891</v>
      </c>
      <c r="Q370" t="s">
        <v>830</v>
      </c>
      <c r="R370" t="s">
        <v>891</v>
      </c>
      <c r="S370" t="s">
        <v>891</v>
      </c>
      <c r="T370" t="s">
        <v>830</v>
      </c>
      <c r="U370" t="s">
        <v>830</v>
      </c>
      <c r="W370" t="s">
        <v>1957</v>
      </c>
      <c r="X370" t="s">
        <v>2877</v>
      </c>
      <c r="Y370" t="s">
        <v>830</v>
      </c>
      <c r="Z370">
        <v>3</v>
      </c>
      <c r="AA370">
        <v>142</v>
      </c>
      <c r="AB370">
        <v>19.803000000000001</v>
      </c>
      <c r="AC370" t="str">
        <f t="shared" si="27"/>
        <v/>
      </c>
      <c r="AE370" t="str">
        <f t="shared" si="28"/>
        <v/>
      </c>
      <c r="AI370" t="str">
        <f t="shared" si="29"/>
        <v/>
      </c>
      <c r="AJ370" t="str">
        <f t="shared" si="30"/>
        <v/>
      </c>
      <c r="AN370" t="str">
        <f t="shared" si="32"/>
        <v/>
      </c>
    </row>
    <row r="371" spans="1:40" x14ac:dyDescent="0.2">
      <c r="A371" s="8" t="s">
        <v>594</v>
      </c>
      <c r="B371" s="8" t="s">
        <v>3038</v>
      </c>
      <c r="C371" s="8">
        <v>0</v>
      </c>
      <c r="D371" s="8" t="s">
        <v>595</v>
      </c>
      <c r="E371" s="8" t="s">
        <v>596</v>
      </c>
      <c r="F371" s="8" t="s">
        <v>8</v>
      </c>
      <c r="G371" s="8" t="s">
        <v>8</v>
      </c>
      <c r="H371" s="8" t="s">
        <v>2652</v>
      </c>
      <c r="I371" s="8"/>
      <c r="J371" s="8"/>
      <c r="K371" s="8" t="s">
        <v>1668</v>
      </c>
      <c r="L371" s="8"/>
      <c r="M371" s="8" t="s">
        <v>2628</v>
      </c>
      <c r="N371" s="8"/>
      <c r="O371" s="8"/>
      <c r="P371" s="8"/>
      <c r="Q371" s="8"/>
      <c r="R371" s="8"/>
      <c r="S371" s="8"/>
      <c r="T371" s="7" t="s">
        <v>1598</v>
      </c>
      <c r="U371" s="8"/>
      <c r="V371" s="8"/>
      <c r="W371" s="4" t="s">
        <v>2581</v>
      </c>
      <c r="X371" s="8"/>
      <c r="Y371" s="8"/>
      <c r="Z371" s="8"/>
      <c r="AA371" s="8">
        <v>4057</v>
      </c>
      <c r="AB371" s="8">
        <v>30</v>
      </c>
      <c r="AC371" t="str">
        <f t="shared" si="27"/>
        <v/>
      </c>
      <c r="AE371" t="str">
        <f t="shared" si="28"/>
        <v/>
      </c>
      <c r="AI371" t="str">
        <f t="shared" si="29"/>
        <v/>
      </c>
      <c r="AJ371" t="str">
        <f t="shared" si="30"/>
        <v/>
      </c>
      <c r="AN371" t="str">
        <f t="shared" si="32"/>
        <v/>
      </c>
    </row>
    <row r="372" spans="1:40" x14ac:dyDescent="0.2">
      <c r="A372" s="8" t="s">
        <v>594</v>
      </c>
      <c r="B372" s="8" t="s">
        <v>3038</v>
      </c>
      <c r="C372" s="8">
        <v>10</v>
      </c>
      <c r="D372" s="8" t="s">
        <v>595</v>
      </c>
      <c r="E372" s="8" t="s">
        <v>596</v>
      </c>
      <c r="F372" s="8" t="s">
        <v>8</v>
      </c>
      <c r="G372" s="8" t="s">
        <v>8</v>
      </c>
      <c r="H372" s="8" t="s">
        <v>2652</v>
      </c>
      <c r="I372" s="8"/>
      <c r="J372" s="8"/>
      <c r="K372" s="8" t="s">
        <v>1668</v>
      </c>
      <c r="L372" s="8"/>
      <c r="M372" s="7" t="s">
        <v>2629</v>
      </c>
      <c r="N372" s="8"/>
      <c r="O372" s="8"/>
      <c r="P372" s="8"/>
      <c r="Q372" s="8"/>
      <c r="R372" s="8"/>
      <c r="S372" s="8"/>
      <c r="T372" s="7" t="s">
        <v>1598</v>
      </c>
      <c r="U372" s="8"/>
      <c r="V372" s="8"/>
      <c r="W372" s="4" t="s">
        <v>2581</v>
      </c>
      <c r="X372" s="8"/>
      <c r="Y372" s="8"/>
      <c r="Z372" s="8"/>
      <c r="AA372" s="8">
        <v>20</v>
      </c>
      <c r="AB372" s="8">
        <v>11.250999999999999</v>
      </c>
      <c r="AC372" t="str">
        <f t="shared" si="27"/>
        <v/>
      </c>
      <c r="AE372" t="str">
        <f t="shared" si="28"/>
        <v/>
      </c>
      <c r="AI372" t="str">
        <f t="shared" si="29"/>
        <v/>
      </c>
      <c r="AJ372" t="str">
        <f t="shared" si="30"/>
        <v/>
      </c>
      <c r="AN372" t="str">
        <f t="shared" si="32"/>
        <v/>
      </c>
    </row>
    <row r="373" spans="1:40" x14ac:dyDescent="0.2">
      <c r="A373" s="8" t="s">
        <v>597</v>
      </c>
      <c r="B373" s="8" t="s">
        <v>3039</v>
      </c>
      <c r="C373" s="8">
        <v>0</v>
      </c>
      <c r="D373" s="8" t="s">
        <v>598</v>
      </c>
      <c r="E373" s="8" t="s">
        <v>599</v>
      </c>
      <c r="F373" s="8" t="s">
        <v>8</v>
      </c>
      <c r="G373" s="8" t="s">
        <v>8</v>
      </c>
      <c r="H373" s="8" t="s">
        <v>2652</v>
      </c>
      <c r="I373" s="8"/>
      <c r="J373" s="8"/>
      <c r="K373" s="8" t="s">
        <v>1668</v>
      </c>
      <c r="L373" s="8"/>
      <c r="M373" s="8" t="s">
        <v>2628</v>
      </c>
      <c r="N373" s="8"/>
      <c r="O373" s="8"/>
      <c r="P373" s="8"/>
      <c r="Q373" s="8"/>
      <c r="R373" s="8"/>
      <c r="S373" s="8"/>
      <c r="T373" s="7" t="s">
        <v>1598</v>
      </c>
      <c r="U373" s="8"/>
      <c r="V373" s="8"/>
      <c r="W373" s="4" t="s">
        <v>2581</v>
      </c>
      <c r="X373" s="8"/>
      <c r="Y373" s="8"/>
      <c r="Z373" s="8"/>
      <c r="AA373" s="8">
        <v>3483</v>
      </c>
      <c r="AB373" s="8">
        <v>30</v>
      </c>
      <c r="AC373" t="str">
        <f t="shared" si="27"/>
        <v/>
      </c>
      <c r="AE373" t="str">
        <f t="shared" si="28"/>
        <v/>
      </c>
      <c r="AI373" t="str">
        <f t="shared" si="29"/>
        <v/>
      </c>
      <c r="AJ373" t="str">
        <f t="shared" si="30"/>
        <v/>
      </c>
      <c r="AN373" t="str">
        <f t="shared" si="32"/>
        <v/>
      </c>
    </row>
    <row r="374" spans="1:40" x14ac:dyDescent="0.2">
      <c r="A374" s="8" t="s">
        <v>597</v>
      </c>
      <c r="B374" s="8" t="s">
        <v>3039</v>
      </c>
      <c r="C374" s="8">
        <v>10</v>
      </c>
      <c r="D374" s="8" t="s">
        <v>598</v>
      </c>
      <c r="E374" s="8" t="s">
        <v>599</v>
      </c>
      <c r="F374" s="8" t="s">
        <v>8</v>
      </c>
      <c r="G374" s="8" t="s">
        <v>8</v>
      </c>
      <c r="H374" s="8" t="s">
        <v>2652</v>
      </c>
      <c r="I374" s="8"/>
      <c r="J374" s="8"/>
      <c r="K374" s="8" t="s">
        <v>1668</v>
      </c>
      <c r="L374" s="8"/>
      <c r="M374" s="7" t="s">
        <v>2629</v>
      </c>
      <c r="N374" s="8"/>
      <c r="O374" s="8"/>
      <c r="P374" s="8"/>
      <c r="Q374" s="8"/>
      <c r="R374" s="8"/>
      <c r="S374" s="8"/>
      <c r="T374" s="7" t="s">
        <v>1598</v>
      </c>
      <c r="U374" s="8"/>
      <c r="V374" s="8"/>
      <c r="W374" s="4" t="s">
        <v>2581</v>
      </c>
      <c r="X374" s="8"/>
      <c r="Y374" s="8"/>
      <c r="Z374" s="8"/>
      <c r="AA374" s="8">
        <v>32</v>
      </c>
      <c r="AB374" s="8">
        <v>14.537000000000001</v>
      </c>
      <c r="AC374" t="str">
        <f t="shared" si="27"/>
        <v/>
      </c>
      <c r="AE374" t="str">
        <f t="shared" si="28"/>
        <v/>
      </c>
      <c r="AI374" t="str">
        <f t="shared" si="29"/>
        <v/>
      </c>
      <c r="AJ374" t="str">
        <f t="shared" si="30"/>
        <v/>
      </c>
      <c r="AN374" t="str">
        <f t="shared" si="32"/>
        <v/>
      </c>
    </row>
    <row r="375" spans="1:40" x14ac:dyDescent="0.2">
      <c r="A375" s="8" t="s">
        <v>603</v>
      </c>
      <c r="B375" s="8" t="s">
        <v>3040</v>
      </c>
      <c r="C375" s="8">
        <v>0</v>
      </c>
      <c r="D375" s="8" t="s">
        <v>604</v>
      </c>
      <c r="E375" s="8" t="s">
        <v>605</v>
      </c>
      <c r="F375" s="8" t="s">
        <v>8</v>
      </c>
      <c r="G375" s="8" t="s">
        <v>8</v>
      </c>
      <c r="H375" s="8" t="s">
        <v>2652</v>
      </c>
      <c r="I375" s="8"/>
      <c r="J375" s="8"/>
      <c r="K375" s="8" t="s">
        <v>1668</v>
      </c>
      <c r="L375" s="8"/>
      <c r="M375" s="8" t="s">
        <v>2628</v>
      </c>
      <c r="N375" s="8"/>
      <c r="O375" s="8"/>
      <c r="P375" s="8"/>
      <c r="Q375" s="8"/>
      <c r="R375" s="8"/>
      <c r="S375" s="8"/>
      <c r="T375" s="7" t="s">
        <v>1598</v>
      </c>
      <c r="U375" s="8"/>
      <c r="V375" s="8"/>
      <c r="W375" s="4" t="s">
        <v>2581</v>
      </c>
      <c r="X375" s="8"/>
      <c r="Y375" s="8"/>
      <c r="Z375" s="8"/>
      <c r="AA375" s="8">
        <v>2423</v>
      </c>
      <c r="AB375" s="8">
        <v>30</v>
      </c>
      <c r="AC375" t="str">
        <f t="shared" si="27"/>
        <v/>
      </c>
      <c r="AE375" t="str">
        <f t="shared" si="28"/>
        <v/>
      </c>
      <c r="AI375" t="str">
        <f t="shared" si="29"/>
        <v/>
      </c>
      <c r="AJ375" t="str">
        <f t="shared" si="30"/>
        <v/>
      </c>
      <c r="AN375" t="str">
        <f t="shared" si="32"/>
        <v/>
      </c>
    </row>
    <row r="376" spans="1:40" x14ac:dyDescent="0.2">
      <c r="A376" s="8" t="s">
        <v>603</v>
      </c>
      <c r="B376" s="8" t="s">
        <v>3040</v>
      </c>
      <c r="C376" s="8">
        <v>10</v>
      </c>
      <c r="D376" s="8" t="s">
        <v>604</v>
      </c>
      <c r="E376" s="8" t="s">
        <v>605</v>
      </c>
      <c r="F376" s="8" t="s">
        <v>8</v>
      </c>
      <c r="G376" s="8" t="s">
        <v>8</v>
      </c>
      <c r="H376" s="8" t="s">
        <v>2652</v>
      </c>
      <c r="I376" s="8"/>
      <c r="J376" s="8"/>
      <c r="K376" s="8" t="s">
        <v>1668</v>
      </c>
      <c r="L376" s="8"/>
      <c r="M376" s="7" t="s">
        <v>2629</v>
      </c>
      <c r="N376" s="8"/>
      <c r="O376" s="8"/>
      <c r="P376" s="8"/>
      <c r="Q376" s="8"/>
      <c r="R376" s="8"/>
      <c r="S376" s="8"/>
      <c r="T376" s="7" t="s">
        <v>1598</v>
      </c>
      <c r="U376" s="8"/>
      <c r="V376" s="8"/>
      <c r="W376" s="4" t="s">
        <v>2581</v>
      </c>
      <c r="X376" s="8"/>
      <c r="Y376" s="8"/>
      <c r="Z376" s="8"/>
      <c r="AA376" s="8">
        <v>20</v>
      </c>
      <c r="AB376" s="8">
        <v>11.914999999999999</v>
      </c>
      <c r="AC376" t="str">
        <f t="shared" si="27"/>
        <v/>
      </c>
      <c r="AE376" t="str">
        <f t="shared" si="28"/>
        <v/>
      </c>
      <c r="AI376" t="str">
        <f t="shared" si="29"/>
        <v/>
      </c>
      <c r="AJ376" t="str">
        <f t="shared" si="30"/>
        <v/>
      </c>
      <c r="AN376" t="str">
        <f t="shared" si="32"/>
        <v/>
      </c>
    </row>
    <row r="377" spans="1:40" x14ac:dyDescent="0.2">
      <c r="A377" t="s">
        <v>606</v>
      </c>
      <c r="B377" t="s">
        <v>150</v>
      </c>
      <c r="C377">
        <v>0</v>
      </c>
      <c r="D377" t="s">
        <v>607</v>
      </c>
      <c r="E377" t="s">
        <v>608</v>
      </c>
      <c r="F377" t="s">
        <v>609</v>
      </c>
      <c r="G377" t="s">
        <v>2059</v>
      </c>
      <c r="H377" t="s">
        <v>830</v>
      </c>
      <c r="I377" t="s">
        <v>1952</v>
      </c>
      <c r="J377" t="s">
        <v>1236</v>
      </c>
      <c r="K377" t="s">
        <v>838</v>
      </c>
      <c r="L377" t="s">
        <v>1553</v>
      </c>
      <c r="M377" t="s">
        <v>883</v>
      </c>
      <c r="N377">
        <v>2005</v>
      </c>
      <c r="O377" t="s">
        <v>830</v>
      </c>
      <c r="P377" t="s">
        <v>2055</v>
      </c>
      <c r="Q377" t="s">
        <v>830</v>
      </c>
      <c r="T377" t="s">
        <v>830</v>
      </c>
      <c r="U377" t="s">
        <v>830</v>
      </c>
      <c r="W377" t="s">
        <v>2034</v>
      </c>
      <c r="X377" t="s">
        <v>2882</v>
      </c>
      <c r="Y377" t="s">
        <v>830</v>
      </c>
      <c r="Z377">
        <v>2</v>
      </c>
      <c r="AA377">
        <v>55</v>
      </c>
      <c r="AB377">
        <v>6.39</v>
      </c>
      <c r="AC377" t="str">
        <f t="shared" ref="AC377:AC440" si="33">IF(AND(A377&lt;&gt;A376,T377="Yes"),A377,"")</f>
        <v>THYMIN</v>
      </c>
      <c r="AD377" t="s">
        <v>3183</v>
      </c>
      <c r="AE377" t="str">
        <f t="shared" si="28"/>
        <v>Thymine</v>
      </c>
      <c r="AF377" t="str">
        <f>AE377</f>
        <v>Thymine</v>
      </c>
      <c r="AG377" s="15" t="s">
        <v>2894</v>
      </c>
      <c r="AH377" t="s">
        <v>2922</v>
      </c>
      <c r="AI377" t="str">
        <f t="shared" si="29"/>
        <v>CSD,version,6.01</v>
      </c>
      <c r="AJ377" t="str">
        <f t="shared" si="30"/>
        <v>C5,H6,N2,O2</v>
      </c>
      <c r="AL377">
        <v>2</v>
      </c>
      <c r="AM377">
        <v>2</v>
      </c>
      <c r="AN377" t="str">
        <f>IF(AM377&lt;&gt;"",CONCATENATE(AC377," &amp; \ce{",SUBSTITUTE(AJ377,","," "),"} &amp; ",SUBSTITUTE(AF377,"."," ")," &amp; ",AL377," &amp; ",AM377," \\"),"")</f>
        <v>THYMIN &amp; \ce{C5 H6 N2 O2} &amp; Thymine &amp; 2 &amp; 2 \\</v>
      </c>
    </row>
    <row r="378" spans="1:40" x14ac:dyDescent="0.2">
      <c r="A378" t="s">
        <v>606</v>
      </c>
      <c r="B378" t="s">
        <v>150</v>
      </c>
      <c r="C378">
        <v>1</v>
      </c>
      <c r="D378" t="s">
        <v>607</v>
      </c>
      <c r="E378" t="s">
        <v>610</v>
      </c>
      <c r="F378" t="s">
        <v>611</v>
      </c>
      <c r="G378" t="s">
        <v>2059</v>
      </c>
      <c r="H378" t="s">
        <v>830</v>
      </c>
      <c r="I378" t="s">
        <v>1952</v>
      </c>
      <c r="J378" t="s">
        <v>1237</v>
      </c>
      <c r="K378" t="s">
        <v>839</v>
      </c>
      <c r="L378" t="s">
        <v>1553</v>
      </c>
      <c r="M378" t="s">
        <v>2060</v>
      </c>
      <c r="N378" t="s">
        <v>886</v>
      </c>
      <c r="O378" t="s">
        <v>830</v>
      </c>
      <c r="P378" t="s">
        <v>2055</v>
      </c>
      <c r="Q378" t="s">
        <v>830</v>
      </c>
      <c r="T378" t="s">
        <v>830</v>
      </c>
      <c r="U378" t="s">
        <v>830</v>
      </c>
      <c r="W378" t="s">
        <v>2034</v>
      </c>
      <c r="X378" t="s">
        <v>2883</v>
      </c>
      <c r="Y378" t="s">
        <v>830</v>
      </c>
      <c r="Z378">
        <v>2</v>
      </c>
      <c r="AA378">
        <v>143</v>
      </c>
      <c r="AB378">
        <v>10</v>
      </c>
      <c r="AC378" t="str">
        <f t="shared" si="33"/>
        <v/>
      </c>
      <c r="AE378" t="str">
        <f t="shared" si="28"/>
        <v/>
      </c>
      <c r="AI378" t="str">
        <f t="shared" si="29"/>
        <v/>
      </c>
      <c r="AJ378" t="str">
        <f t="shared" si="30"/>
        <v/>
      </c>
      <c r="AN378" t="str">
        <f>IF(AM378&lt;&gt;"",CONCATENATE(AC378," &amp; ",SUBSTITUTE(AJ378,","," ")," &amp; ",SUBSTITUTE(AF378,"."," ")," &amp; ",AL378," &amp; ",AM378," \\"),"")</f>
        <v/>
      </c>
    </row>
    <row r="379" spans="1:40" x14ac:dyDescent="0.2">
      <c r="A379" t="s">
        <v>612</v>
      </c>
      <c r="B379" t="s">
        <v>613</v>
      </c>
      <c r="C379">
        <v>0</v>
      </c>
      <c r="D379" t="s">
        <v>614</v>
      </c>
      <c r="E379" t="s">
        <v>614</v>
      </c>
      <c r="F379" t="s">
        <v>8</v>
      </c>
      <c r="G379" t="s">
        <v>612</v>
      </c>
      <c r="H379" t="s">
        <v>830</v>
      </c>
      <c r="I379" t="s">
        <v>2385</v>
      </c>
      <c r="J379" t="s">
        <v>1090</v>
      </c>
      <c r="K379" t="s">
        <v>844</v>
      </c>
      <c r="L379" t="s">
        <v>1558</v>
      </c>
      <c r="M379" t="s">
        <v>876</v>
      </c>
      <c r="N379" t="s">
        <v>1876</v>
      </c>
      <c r="O379" t="s">
        <v>830</v>
      </c>
      <c r="P379" t="s">
        <v>2814</v>
      </c>
      <c r="Q379" t="s">
        <v>830</v>
      </c>
      <c r="T379" t="s">
        <v>830</v>
      </c>
      <c r="U379" t="s">
        <v>830</v>
      </c>
      <c r="W379" t="s">
        <v>2836</v>
      </c>
      <c r="X379" t="s">
        <v>2813</v>
      </c>
      <c r="Y379" t="s">
        <v>830</v>
      </c>
      <c r="Z379">
        <v>1</v>
      </c>
      <c r="AA379">
        <v>11</v>
      </c>
      <c r="AB379">
        <v>5.71</v>
      </c>
      <c r="AC379" t="str">
        <f t="shared" si="33"/>
        <v>TIBMIA</v>
      </c>
      <c r="AD379" t="s">
        <v>3280</v>
      </c>
      <c r="AE379" t="str">
        <f t="shared" si="28"/>
        <v>DiaminoDinitroPyridineOxide</v>
      </c>
      <c r="AF379" t="s">
        <v>3242</v>
      </c>
      <c r="AG379" s="15" t="s">
        <v>2887</v>
      </c>
      <c r="AH379" t="s">
        <v>2884</v>
      </c>
      <c r="AI379" t="str">
        <f t="shared" si="29"/>
        <v>CSD,version,6.01,with,Feb,2026,update</v>
      </c>
      <c r="AJ379" t="str">
        <f t="shared" si="30"/>
        <v>C5,H5,N5,O5</v>
      </c>
      <c r="AL379">
        <v>1</v>
      </c>
      <c r="AM379">
        <v>1</v>
      </c>
      <c r="AN379" t="str">
        <f>IF(AM379&lt;&gt;"",CONCATENATE(AC379," &amp; \ce{",SUBSTITUTE(AJ379,","," "),"} &amp; ",SUBSTITUTE(AF379,"."," ")," &amp; ",AL379," &amp; ",AM379," \\"),"")</f>
        <v>TIBMIA &amp; \ce{C5 H5 N5 O5} &amp; Diamino Dinitro Pyridine Oxide &amp; 1 &amp; 1 \\</v>
      </c>
    </row>
    <row r="380" spans="1:40" x14ac:dyDescent="0.2">
      <c r="A380" t="s">
        <v>615</v>
      </c>
      <c r="B380" t="s">
        <v>616</v>
      </c>
      <c r="C380">
        <v>20</v>
      </c>
      <c r="D380" t="s">
        <v>617</v>
      </c>
      <c r="E380" t="s">
        <v>618</v>
      </c>
      <c r="F380" t="s">
        <v>8</v>
      </c>
      <c r="G380" t="s">
        <v>1841</v>
      </c>
      <c r="H380" t="s">
        <v>830</v>
      </c>
      <c r="I380" t="s">
        <v>1798</v>
      </c>
      <c r="J380" t="s">
        <v>2405</v>
      </c>
      <c r="K380" t="s">
        <v>868</v>
      </c>
      <c r="L380" t="s">
        <v>1838</v>
      </c>
      <c r="M380" t="s">
        <v>1840</v>
      </c>
      <c r="N380" t="s">
        <v>1027</v>
      </c>
      <c r="O380" t="s">
        <v>830</v>
      </c>
      <c r="P380" t="s">
        <v>1842</v>
      </c>
      <c r="Q380" t="s">
        <v>830</v>
      </c>
      <c r="T380" t="s">
        <v>830</v>
      </c>
      <c r="U380" t="s">
        <v>830</v>
      </c>
      <c r="W380" t="s">
        <v>1852</v>
      </c>
      <c r="X380" t="s">
        <v>1851</v>
      </c>
      <c r="Y380" t="s">
        <v>830</v>
      </c>
      <c r="Z380">
        <v>3</v>
      </c>
      <c r="AA380">
        <v>203</v>
      </c>
      <c r="AB380">
        <v>20</v>
      </c>
      <c r="AC380" t="str">
        <f t="shared" si="33"/>
        <v>TNBENZ</v>
      </c>
      <c r="AD380" t="s">
        <v>617</v>
      </c>
      <c r="AE380" t="str">
        <f t="shared" si="28"/>
        <v>Trinitrobenzene</v>
      </c>
      <c r="AF380" t="str">
        <f>AE380</f>
        <v>Trinitrobenzene</v>
      </c>
      <c r="AG380" s="15" t="s">
        <v>3128</v>
      </c>
      <c r="AH380" t="s">
        <v>2884</v>
      </c>
      <c r="AI380" t="str">
        <f t="shared" si="29"/>
        <v>CSD,version,5.45,with,Mar,,Jun,and,Sep,2024,update</v>
      </c>
      <c r="AJ380" t="str">
        <f t="shared" si="30"/>
        <v>C6,H3,N3,O6</v>
      </c>
      <c r="AL380">
        <v>1</v>
      </c>
      <c r="AM380">
        <v>8</v>
      </c>
      <c r="AN380" t="str">
        <f>IF(AM380&lt;&gt;"",CONCATENATE(AC380," &amp; \ce{",SUBSTITUTE(AJ380,","," "),"} &amp; ",SUBSTITUTE(AF380,"."," ")," &amp; ",AL380," &amp; ",AM380," \\"),"")</f>
        <v>TNBENZ &amp; \ce{C6 H3 N3 O6} &amp; Trinitrobenzene &amp; 1 &amp; 8 \\</v>
      </c>
    </row>
    <row r="381" spans="1:40" x14ac:dyDescent="0.2">
      <c r="A381" t="s">
        <v>615</v>
      </c>
      <c r="B381" t="s">
        <v>616</v>
      </c>
      <c r="C381">
        <v>21</v>
      </c>
      <c r="D381" t="s">
        <v>617</v>
      </c>
      <c r="E381" t="s">
        <v>618</v>
      </c>
      <c r="G381" t="s">
        <v>1841</v>
      </c>
      <c r="H381" t="s">
        <v>830</v>
      </c>
      <c r="I381" t="s">
        <v>1798</v>
      </c>
      <c r="J381" t="s">
        <v>1028</v>
      </c>
      <c r="K381" t="s">
        <v>868</v>
      </c>
      <c r="L381" t="s">
        <v>1838</v>
      </c>
      <c r="M381" t="s">
        <v>1840</v>
      </c>
      <c r="N381" t="s">
        <v>1027</v>
      </c>
      <c r="O381" t="s">
        <v>830</v>
      </c>
      <c r="P381" t="s">
        <v>1842</v>
      </c>
      <c r="Q381" t="s">
        <v>830</v>
      </c>
      <c r="T381" t="s">
        <v>830</v>
      </c>
      <c r="U381" t="s">
        <v>830</v>
      </c>
      <c r="W381" t="s">
        <v>1852</v>
      </c>
      <c r="X381" t="s">
        <v>1849</v>
      </c>
      <c r="Y381" t="s">
        <v>830</v>
      </c>
      <c r="Z381">
        <v>3</v>
      </c>
      <c r="AA381">
        <v>203</v>
      </c>
      <c r="AB381">
        <v>14.67</v>
      </c>
      <c r="AC381" t="str">
        <f t="shared" si="33"/>
        <v/>
      </c>
      <c r="AE381" t="str">
        <f t="shared" si="28"/>
        <v/>
      </c>
      <c r="AI381" t="str">
        <f t="shared" si="29"/>
        <v/>
      </c>
      <c r="AJ381" t="str">
        <f t="shared" si="30"/>
        <v/>
      </c>
      <c r="AN381" t="str">
        <f t="shared" ref="AN381:AN388" si="34">IF(AM381&lt;&gt;"",CONCATENATE(AC381," &amp; ",SUBSTITUTE(AJ381,","," ")," &amp; ",SUBSTITUTE(AF381,"."," ")," &amp; ",AL381," &amp; ",AM381," \\"),"")</f>
        <v/>
      </c>
    </row>
    <row r="382" spans="1:40" x14ac:dyDescent="0.2">
      <c r="A382" t="s">
        <v>615</v>
      </c>
      <c r="B382" t="s">
        <v>616</v>
      </c>
      <c r="C382">
        <v>22</v>
      </c>
      <c r="D382" t="s">
        <v>617</v>
      </c>
      <c r="E382" t="s">
        <v>618</v>
      </c>
      <c r="G382" t="s">
        <v>1841</v>
      </c>
      <c r="H382" t="s">
        <v>830</v>
      </c>
      <c r="I382" t="s">
        <v>1798</v>
      </c>
      <c r="J382" t="s">
        <v>1029</v>
      </c>
      <c r="K382" t="s">
        <v>868</v>
      </c>
      <c r="L382" t="s">
        <v>1838</v>
      </c>
      <c r="M382" t="s">
        <v>1840</v>
      </c>
      <c r="N382" t="s">
        <v>1027</v>
      </c>
      <c r="O382" t="s">
        <v>830</v>
      </c>
      <c r="P382" t="s">
        <v>1842</v>
      </c>
      <c r="Q382" t="s">
        <v>830</v>
      </c>
      <c r="T382" t="s">
        <v>830</v>
      </c>
      <c r="U382" t="s">
        <v>830</v>
      </c>
      <c r="W382" t="s">
        <v>1852</v>
      </c>
      <c r="X382" t="s">
        <v>1848</v>
      </c>
      <c r="Y382" t="s">
        <v>830</v>
      </c>
      <c r="Z382">
        <v>3</v>
      </c>
      <c r="AA382">
        <v>203</v>
      </c>
      <c r="AB382">
        <v>18.07</v>
      </c>
      <c r="AC382" t="str">
        <f t="shared" si="33"/>
        <v/>
      </c>
      <c r="AE382" t="str">
        <f t="shared" si="28"/>
        <v/>
      </c>
      <c r="AI382" t="str">
        <f t="shared" si="29"/>
        <v/>
      </c>
      <c r="AJ382" t="str">
        <f t="shared" si="30"/>
        <v/>
      </c>
      <c r="AN382" t="str">
        <f t="shared" si="34"/>
        <v/>
      </c>
    </row>
    <row r="383" spans="1:40" x14ac:dyDescent="0.2">
      <c r="A383" t="s">
        <v>615</v>
      </c>
      <c r="B383" t="s">
        <v>616</v>
      </c>
      <c r="C383">
        <v>23</v>
      </c>
      <c r="D383" t="s">
        <v>617</v>
      </c>
      <c r="E383" t="s">
        <v>618</v>
      </c>
      <c r="G383" t="s">
        <v>1841</v>
      </c>
      <c r="H383" t="s">
        <v>830</v>
      </c>
      <c r="I383" t="s">
        <v>1798</v>
      </c>
      <c r="J383" t="s">
        <v>1030</v>
      </c>
      <c r="K383" t="s">
        <v>868</v>
      </c>
      <c r="L383" t="s">
        <v>1838</v>
      </c>
      <c r="M383" t="s">
        <v>1839</v>
      </c>
      <c r="N383" t="s">
        <v>1027</v>
      </c>
      <c r="O383" t="s">
        <v>830</v>
      </c>
      <c r="P383" t="s">
        <v>1842</v>
      </c>
      <c r="Q383" t="s">
        <v>830</v>
      </c>
      <c r="T383" t="s">
        <v>830</v>
      </c>
      <c r="U383" t="s">
        <v>830</v>
      </c>
      <c r="W383" t="s">
        <v>1852</v>
      </c>
      <c r="X383" t="s">
        <v>1843</v>
      </c>
      <c r="Y383" t="s">
        <v>830</v>
      </c>
      <c r="Z383">
        <v>3</v>
      </c>
      <c r="AA383">
        <v>203</v>
      </c>
      <c r="AB383">
        <v>18.010000000000002</v>
      </c>
      <c r="AC383" t="str">
        <f t="shared" si="33"/>
        <v/>
      </c>
      <c r="AE383" t="str">
        <f t="shared" si="28"/>
        <v/>
      </c>
      <c r="AI383" t="str">
        <f t="shared" si="29"/>
        <v/>
      </c>
      <c r="AJ383" t="str">
        <f t="shared" si="30"/>
        <v/>
      </c>
      <c r="AN383" t="str">
        <f t="shared" si="34"/>
        <v/>
      </c>
    </row>
    <row r="384" spans="1:40" x14ac:dyDescent="0.2">
      <c r="A384" t="s">
        <v>615</v>
      </c>
      <c r="B384" t="s">
        <v>616</v>
      </c>
      <c r="C384">
        <v>24</v>
      </c>
      <c r="D384" t="s">
        <v>617</v>
      </c>
      <c r="E384" t="s">
        <v>618</v>
      </c>
      <c r="G384" t="s">
        <v>1841</v>
      </c>
      <c r="H384" t="s">
        <v>830</v>
      </c>
      <c r="I384" t="s">
        <v>1798</v>
      </c>
      <c r="J384" t="s">
        <v>1031</v>
      </c>
      <c r="K384" t="s">
        <v>868</v>
      </c>
      <c r="L384" t="s">
        <v>1838</v>
      </c>
      <c r="M384" t="s">
        <v>1840</v>
      </c>
      <c r="N384" t="s">
        <v>1027</v>
      </c>
      <c r="O384" t="s">
        <v>830</v>
      </c>
      <c r="P384" t="s">
        <v>1842</v>
      </c>
      <c r="Q384" t="s">
        <v>830</v>
      </c>
      <c r="T384" t="s">
        <v>830</v>
      </c>
      <c r="U384" t="s">
        <v>830</v>
      </c>
      <c r="W384" t="s">
        <v>1852</v>
      </c>
      <c r="X384" t="s">
        <v>1844</v>
      </c>
      <c r="Y384" t="s">
        <v>830</v>
      </c>
      <c r="Z384">
        <v>3</v>
      </c>
      <c r="AA384">
        <v>203</v>
      </c>
      <c r="AB384">
        <v>13.46</v>
      </c>
      <c r="AC384" t="str">
        <f t="shared" si="33"/>
        <v/>
      </c>
      <c r="AE384" t="str">
        <f t="shared" si="28"/>
        <v/>
      </c>
      <c r="AI384" t="str">
        <f t="shared" si="29"/>
        <v/>
      </c>
      <c r="AJ384" t="str">
        <f t="shared" si="30"/>
        <v/>
      </c>
      <c r="AN384" t="str">
        <f t="shared" si="34"/>
        <v/>
      </c>
    </row>
    <row r="385" spans="1:40" x14ac:dyDescent="0.2">
      <c r="A385" t="s">
        <v>615</v>
      </c>
      <c r="B385" t="s">
        <v>616</v>
      </c>
      <c r="C385">
        <v>25</v>
      </c>
      <c r="D385" t="s">
        <v>617</v>
      </c>
      <c r="E385" t="s">
        <v>618</v>
      </c>
      <c r="G385" t="s">
        <v>1841</v>
      </c>
      <c r="H385" t="s">
        <v>830</v>
      </c>
      <c r="I385" t="s">
        <v>1798</v>
      </c>
      <c r="J385" t="s">
        <v>1032</v>
      </c>
      <c r="K385" t="s">
        <v>868</v>
      </c>
      <c r="L385" t="s">
        <v>1838</v>
      </c>
      <c r="M385" t="s">
        <v>1840</v>
      </c>
      <c r="N385" t="s">
        <v>1027</v>
      </c>
      <c r="O385" t="s">
        <v>830</v>
      </c>
      <c r="P385" t="s">
        <v>1842</v>
      </c>
      <c r="Q385" t="s">
        <v>830</v>
      </c>
      <c r="T385" t="s">
        <v>830</v>
      </c>
      <c r="U385" t="s">
        <v>830</v>
      </c>
      <c r="W385" t="s">
        <v>1852</v>
      </c>
      <c r="X385" t="s">
        <v>1850</v>
      </c>
      <c r="Y385" t="s">
        <v>830</v>
      </c>
      <c r="Z385">
        <v>3</v>
      </c>
      <c r="AA385">
        <v>203</v>
      </c>
      <c r="AB385">
        <v>45.41</v>
      </c>
      <c r="AC385" t="str">
        <f t="shared" si="33"/>
        <v/>
      </c>
      <c r="AE385" t="str">
        <f t="shared" si="28"/>
        <v/>
      </c>
      <c r="AI385" t="str">
        <f t="shared" si="29"/>
        <v/>
      </c>
      <c r="AJ385" t="str">
        <f t="shared" si="30"/>
        <v/>
      </c>
      <c r="AN385" t="str">
        <f t="shared" si="34"/>
        <v/>
      </c>
    </row>
    <row r="386" spans="1:40" x14ac:dyDescent="0.2">
      <c r="A386" t="s">
        <v>615</v>
      </c>
      <c r="B386" t="s">
        <v>616</v>
      </c>
      <c r="C386">
        <v>30</v>
      </c>
      <c r="D386" t="s">
        <v>617</v>
      </c>
      <c r="E386" t="s">
        <v>618</v>
      </c>
      <c r="G386" t="s">
        <v>1841</v>
      </c>
      <c r="H386" t="s">
        <v>830</v>
      </c>
      <c r="I386" t="s">
        <v>1798</v>
      </c>
      <c r="J386" t="s">
        <v>1033</v>
      </c>
      <c r="K386" t="s">
        <v>868</v>
      </c>
      <c r="L386" t="s">
        <v>1838</v>
      </c>
      <c r="M386" t="s">
        <v>1840</v>
      </c>
      <c r="N386" t="s">
        <v>1027</v>
      </c>
      <c r="O386" t="s">
        <v>830</v>
      </c>
      <c r="P386" t="s">
        <v>1842</v>
      </c>
      <c r="Q386" t="s">
        <v>830</v>
      </c>
      <c r="T386" t="s">
        <v>830</v>
      </c>
      <c r="U386" t="s">
        <v>830</v>
      </c>
      <c r="W386" t="s">
        <v>1852</v>
      </c>
      <c r="X386" t="s">
        <v>1845</v>
      </c>
      <c r="Y386" t="s">
        <v>830</v>
      </c>
      <c r="Z386">
        <v>3</v>
      </c>
      <c r="AA386">
        <v>203</v>
      </c>
      <c r="AB386">
        <v>13.95</v>
      </c>
      <c r="AC386" t="str">
        <f t="shared" si="33"/>
        <v/>
      </c>
      <c r="AE386" t="str">
        <f t="shared" ref="AE386:AE449" si="35">IF(AC386="","",MID(X386,1,(FIND("_",X386))-1))</f>
        <v/>
      </c>
      <c r="AI386" t="str">
        <f t="shared" ref="AI386:AI449" si="36">IF(AC386="","",SUBSTITUTE(IF(MID(I386,1,5)="Yes, ",MID(I386,6,100),I386)," ",","))</f>
        <v/>
      </c>
      <c r="AJ386" t="str">
        <f t="shared" ref="AJ386:AJ449" si="37">IF(AC386="","",SUBSTITUTE(B386," ",","))</f>
        <v/>
      </c>
      <c r="AN386" t="str">
        <f t="shared" si="34"/>
        <v/>
      </c>
    </row>
    <row r="387" spans="1:40" x14ac:dyDescent="0.2">
      <c r="A387" t="s">
        <v>615</v>
      </c>
      <c r="B387" t="s">
        <v>616</v>
      </c>
      <c r="C387">
        <v>31</v>
      </c>
      <c r="D387" t="s">
        <v>617</v>
      </c>
      <c r="E387" t="s">
        <v>618</v>
      </c>
      <c r="G387" t="s">
        <v>1841</v>
      </c>
      <c r="H387" t="s">
        <v>830</v>
      </c>
      <c r="I387" t="s">
        <v>1798</v>
      </c>
      <c r="J387" t="s">
        <v>1034</v>
      </c>
      <c r="K387" t="s">
        <v>868</v>
      </c>
      <c r="L387" t="s">
        <v>1838</v>
      </c>
      <c r="M387" t="s">
        <v>1840</v>
      </c>
      <c r="N387" t="s">
        <v>1027</v>
      </c>
      <c r="O387" t="s">
        <v>830</v>
      </c>
      <c r="P387" t="s">
        <v>1842</v>
      </c>
      <c r="Q387" t="s">
        <v>830</v>
      </c>
      <c r="T387" t="s">
        <v>830</v>
      </c>
      <c r="U387" t="s">
        <v>830</v>
      </c>
      <c r="W387" t="s">
        <v>1852</v>
      </c>
      <c r="X387" t="s">
        <v>1846</v>
      </c>
      <c r="Y387" t="s">
        <v>830</v>
      </c>
      <c r="Z387">
        <v>3</v>
      </c>
      <c r="AA387">
        <v>203</v>
      </c>
      <c r="AB387">
        <v>14.22</v>
      </c>
      <c r="AC387" t="str">
        <f t="shared" si="33"/>
        <v/>
      </c>
      <c r="AE387" t="str">
        <f t="shared" si="35"/>
        <v/>
      </c>
      <c r="AI387" t="str">
        <f t="shared" si="36"/>
        <v/>
      </c>
      <c r="AJ387" t="str">
        <f t="shared" si="37"/>
        <v/>
      </c>
      <c r="AN387" t="str">
        <f t="shared" si="34"/>
        <v/>
      </c>
    </row>
    <row r="388" spans="1:40" x14ac:dyDescent="0.2">
      <c r="A388" t="s">
        <v>615</v>
      </c>
      <c r="B388" t="s">
        <v>616</v>
      </c>
      <c r="C388">
        <v>32</v>
      </c>
      <c r="D388" t="s">
        <v>617</v>
      </c>
      <c r="E388" t="s">
        <v>618</v>
      </c>
      <c r="G388" t="s">
        <v>1841</v>
      </c>
      <c r="H388" t="s">
        <v>830</v>
      </c>
      <c r="I388" t="s">
        <v>1798</v>
      </c>
      <c r="J388" t="s">
        <v>1035</v>
      </c>
      <c r="K388" t="s">
        <v>868</v>
      </c>
      <c r="L388" t="s">
        <v>1838</v>
      </c>
      <c r="M388" t="s">
        <v>1840</v>
      </c>
      <c r="N388" t="s">
        <v>1027</v>
      </c>
      <c r="O388" t="s">
        <v>830</v>
      </c>
      <c r="P388" t="s">
        <v>1842</v>
      </c>
      <c r="Q388" t="s">
        <v>830</v>
      </c>
      <c r="T388" t="s">
        <v>830</v>
      </c>
      <c r="U388" t="s">
        <v>830</v>
      </c>
      <c r="W388" t="s">
        <v>1852</v>
      </c>
      <c r="X388" t="s">
        <v>1847</v>
      </c>
      <c r="Y388" t="s">
        <v>830</v>
      </c>
      <c r="Z388">
        <v>3</v>
      </c>
      <c r="AA388">
        <v>203</v>
      </c>
      <c r="AB388">
        <v>14.54</v>
      </c>
      <c r="AC388" t="str">
        <f t="shared" si="33"/>
        <v/>
      </c>
      <c r="AE388" t="str">
        <f t="shared" si="35"/>
        <v/>
      </c>
      <c r="AI388" t="str">
        <f t="shared" si="36"/>
        <v/>
      </c>
      <c r="AJ388" t="str">
        <f t="shared" si="37"/>
        <v/>
      </c>
      <c r="AN388" t="str">
        <f t="shared" si="34"/>
        <v/>
      </c>
    </row>
    <row r="389" spans="1:40" x14ac:dyDescent="0.2">
      <c r="A389" t="s">
        <v>619</v>
      </c>
      <c r="B389" t="s">
        <v>620</v>
      </c>
      <c r="C389">
        <v>0</v>
      </c>
      <c r="D389" t="s">
        <v>621</v>
      </c>
      <c r="E389" t="s">
        <v>621</v>
      </c>
      <c r="F389" t="s">
        <v>622</v>
      </c>
      <c r="G389" t="s">
        <v>8</v>
      </c>
      <c r="H389" t="s">
        <v>830</v>
      </c>
      <c r="I389" t="s">
        <v>2385</v>
      </c>
      <c r="J389" t="s">
        <v>1093</v>
      </c>
      <c r="K389" t="s">
        <v>897</v>
      </c>
      <c r="L389" t="s">
        <v>1553</v>
      </c>
      <c r="M389" t="s">
        <v>876</v>
      </c>
      <c r="N389" t="s">
        <v>1876</v>
      </c>
      <c r="O389" t="s">
        <v>830</v>
      </c>
      <c r="P389" t="s">
        <v>2815</v>
      </c>
      <c r="Q389" t="s">
        <v>830</v>
      </c>
      <c r="T389" t="s">
        <v>830</v>
      </c>
      <c r="U389" t="s">
        <v>830</v>
      </c>
      <c r="W389" t="s">
        <v>2861</v>
      </c>
      <c r="X389" t="s">
        <v>2816</v>
      </c>
      <c r="Y389" t="s">
        <v>830</v>
      </c>
      <c r="Z389">
        <v>0</v>
      </c>
      <c r="AA389">
        <v>381</v>
      </c>
      <c r="AB389">
        <v>20.687999999999999</v>
      </c>
      <c r="AC389" t="str">
        <f t="shared" si="33"/>
        <v>TONIBR</v>
      </c>
      <c r="AD389" t="s">
        <v>3300</v>
      </c>
      <c r="AE389" t="str">
        <f t="shared" si="35"/>
        <v>BromoAminoBenzoicAcid</v>
      </c>
      <c r="AF389" t="s">
        <v>3243</v>
      </c>
      <c r="AG389" s="15" t="s">
        <v>2887</v>
      </c>
      <c r="AH389" t="s">
        <v>2884</v>
      </c>
      <c r="AI389" t="str">
        <f t="shared" si="36"/>
        <v>CSD,version,6.01,with,Feb,2026,update</v>
      </c>
      <c r="AJ389" t="str">
        <f t="shared" si="37"/>
        <v>C7,H6,N1,O2,Br1</v>
      </c>
      <c r="AK389" s="4" t="s">
        <v>3127</v>
      </c>
      <c r="AL389">
        <v>1</v>
      </c>
      <c r="AM389">
        <v>1</v>
      </c>
      <c r="AN389" t="str">
        <f>IF(AM389&lt;&gt;"",CONCATENATE(AC389," &amp; \ce{",SUBSTITUTE(AJ389,","," "),"} &amp; ",SUBSTITUTE(AF389,"."," ")," &amp; ",AL389," &amp; ",AM389," \\"),"")</f>
        <v>TONIBR &amp; \ce{C7 H6 N1 O2 Br1} &amp; Bromo Amino Benzoic Acid &amp; 1 &amp; 1 \\</v>
      </c>
    </row>
    <row r="390" spans="1:40" x14ac:dyDescent="0.2">
      <c r="A390" t="s">
        <v>623</v>
      </c>
      <c r="B390" t="s">
        <v>553</v>
      </c>
      <c r="C390">
        <v>0</v>
      </c>
      <c r="D390" t="s">
        <v>624</v>
      </c>
      <c r="E390" s="4" t="s">
        <v>1854</v>
      </c>
      <c r="F390" t="s">
        <v>8</v>
      </c>
      <c r="G390" t="s">
        <v>8</v>
      </c>
      <c r="H390" t="s">
        <v>830</v>
      </c>
      <c r="I390" t="s">
        <v>1798</v>
      </c>
      <c r="J390" t="s">
        <v>1860</v>
      </c>
      <c r="K390" t="s">
        <v>897</v>
      </c>
      <c r="L390" t="s">
        <v>1855</v>
      </c>
      <c r="M390" t="s">
        <v>876</v>
      </c>
      <c r="N390">
        <v>2008</v>
      </c>
      <c r="O390" t="s">
        <v>947</v>
      </c>
      <c r="P390" t="s">
        <v>1856</v>
      </c>
      <c r="Q390" t="s">
        <v>830</v>
      </c>
      <c r="T390" t="s">
        <v>830</v>
      </c>
      <c r="U390" t="s">
        <v>830</v>
      </c>
      <c r="W390" t="s">
        <v>1861</v>
      </c>
      <c r="X390" t="s">
        <v>2878</v>
      </c>
      <c r="Y390" t="s">
        <v>830</v>
      </c>
      <c r="Z390">
        <v>0</v>
      </c>
      <c r="AA390">
        <v>39</v>
      </c>
      <c r="AB390">
        <v>10</v>
      </c>
      <c r="AC390" t="str">
        <f t="shared" si="33"/>
        <v>TRFOXS</v>
      </c>
      <c r="AD390" t="s">
        <v>3109</v>
      </c>
      <c r="AE390" t="str">
        <f t="shared" si="35"/>
        <v>TransFOX7</v>
      </c>
      <c r="AF390" t="s">
        <v>3459</v>
      </c>
      <c r="AG390" s="15" t="s">
        <v>2894</v>
      </c>
      <c r="AH390" t="s">
        <v>2884</v>
      </c>
      <c r="AI390" t="str">
        <f t="shared" si="36"/>
        <v>CSD,version,5.45,with,Mar,,Jun,and,Sep,2024,update</v>
      </c>
      <c r="AJ390" t="str">
        <f t="shared" si="37"/>
        <v>C2,H4,N4,O4,</v>
      </c>
      <c r="AK390" t="s">
        <v>3127</v>
      </c>
      <c r="AL390">
        <v>1</v>
      </c>
      <c r="AM390">
        <v>1</v>
      </c>
      <c r="AN390" t="str">
        <f>IF(AM390&lt;&gt;"",CONCATENATE(AC390," &amp; \ce{",SUBSTITUTE(AJ390,","," "),"} &amp; ",SUBSTITUTE(AF390,"."," ")," &amp; ",AL390," &amp; ",AM390," \\"),"")</f>
        <v>TRFOXS &amp; \ce{C2 H4 N4 O4 } &amp; Trans FOX7 &amp; 1 &amp; 1 \\</v>
      </c>
    </row>
    <row r="391" spans="1:40" s="8" customFormat="1" x14ac:dyDescent="0.2">
      <c r="A391" t="s">
        <v>625</v>
      </c>
      <c r="B391" t="s">
        <v>626</v>
      </c>
      <c r="C391">
        <v>10</v>
      </c>
      <c r="D391" t="s">
        <v>627</v>
      </c>
      <c r="E391" t="s">
        <v>628</v>
      </c>
      <c r="F391" t="s">
        <v>8</v>
      </c>
      <c r="G391" t="s">
        <v>625</v>
      </c>
      <c r="H391" t="s">
        <v>830</v>
      </c>
      <c r="I391" t="s">
        <v>1952</v>
      </c>
      <c r="J391" t="s">
        <v>1403</v>
      </c>
      <c r="K391" t="s">
        <v>842</v>
      </c>
      <c r="L391" t="s">
        <v>2004</v>
      </c>
      <c r="M391" t="s">
        <v>887</v>
      </c>
      <c r="N391">
        <v>2018</v>
      </c>
      <c r="O391" t="s">
        <v>830</v>
      </c>
      <c r="P391" t="s">
        <v>2007</v>
      </c>
      <c r="Q391" t="s">
        <v>830</v>
      </c>
      <c r="R391"/>
      <c r="S391"/>
      <c r="T391" t="s">
        <v>830</v>
      </c>
      <c r="U391" t="s">
        <v>830</v>
      </c>
      <c r="V391"/>
      <c r="W391" t="s">
        <v>2002</v>
      </c>
      <c r="X391" t="s">
        <v>2008</v>
      </c>
      <c r="Y391" t="s">
        <v>830</v>
      </c>
      <c r="Z391">
        <v>1</v>
      </c>
      <c r="AA391">
        <v>121</v>
      </c>
      <c r="AB391">
        <v>22.614999999999998</v>
      </c>
      <c r="AC391" t="str">
        <f t="shared" si="33"/>
        <v>TUXPEJ</v>
      </c>
      <c r="AD391" t="s">
        <v>3301</v>
      </c>
      <c r="AE391" t="str">
        <f t="shared" si="35"/>
        <v>AMebendazole</v>
      </c>
      <c r="AF391" t="s">
        <v>3244</v>
      </c>
      <c r="AG391" s="15" t="s">
        <v>2885</v>
      </c>
      <c r="AH391" t="s">
        <v>2956</v>
      </c>
      <c r="AI391" t="str">
        <f t="shared" si="36"/>
        <v>CSD,version,6.01</v>
      </c>
      <c r="AJ391" t="str">
        <f t="shared" si="37"/>
        <v>C16,H13,N3,O3</v>
      </c>
      <c r="AK391"/>
      <c r="AL391">
        <v>2</v>
      </c>
      <c r="AM391">
        <v>5</v>
      </c>
      <c r="AN391" t="str">
        <f>IF(AM391&lt;&gt;"",CONCATENATE(AC391," &amp; \ce{",SUBSTITUTE(AJ391,","," "),"} &amp; ",SUBSTITUTE(AF391,"."," ")," &amp; ",AL391," &amp; ",AM391," \\"),"")</f>
        <v>TUXPEJ &amp; \ce{C16 H13 N3 O3} &amp; A-Mebendazole &amp; 2 &amp; 5 \\</v>
      </c>
    </row>
    <row r="392" spans="1:40" s="8" customFormat="1" x14ac:dyDescent="0.2">
      <c r="A392" t="s">
        <v>625</v>
      </c>
      <c r="B392" t="s">
        <v>626</v>
      </c>
      <c r="C392">
        <v>11</v>
      </c>
      <c r="D392" t="s">
        <v>627</v>
      </c>
      <c r="E392" t="s">
        <v>628</v>
      </c>
      <c r="F392" t="s">
        <v>8</v>
      </c>
      <c r="G392" t="s">
        <v>625</v>
      </c>
      <c r="H392" t="s">
        <v>830</v>
      </c>
      <c r="I392" t="s">
        <v>1952</v>
      </c>
      <c r="J392" t="s">
        <v>1409</v>
      </c>
      <c r="K392" t="s">
        <v>842</v>
      </c>
      <c r="L392" t="s">
        <v>2003</v>
      </c>
      <c r="M392" t="s">
        <v>887</v>
      </c>
      <c r="N392">
        <v>2018</v>
      </c>
      <c r="O392" t="s">
        <v>830</v>
      </c>
      <c r="P392" t="s">
        <v>2007</v>
      </c>
      <c r="Q392" t="s">
        <v>830</v>
      </c>
      <c r="R392"/>
      <c r="S392"/>
      <c r="T392" t="s">
        <v>830</v>
      </c>
      <c r="U392" t="s">
        <v>830</v>
      </c>
      <c r="V392"/>
      <c r="W392" t="s">
        <v>2002</v>
      </c>
      <c r="X392" t="s">
        <v>2009</v>
      </c>
      <c r="Y392" t="s">
        <v>830</v>
      </c>
      <c r="Z392">
        <v>1</v>
      </c>
      <c r="AA392">
        <v>575</v>
      </c>
      <c r="AB392">
        <v>82.379000000000005</v>
      </c>
      <c r="AC392" t="str">
        <f t="shared" si="33"/>
        <v/>
      </c>
      <c r="AD392"/>
      <c r="AE392" t="str">
        <f t="shared" si="35"/>
        <v/>
      </c>
      <c r="AF392"/>
      <c r="AG392" s="15"/>
      <c r="AH392"/>
      <c r="AI392" t="str">
        <f t="shared" si="36"/>
        <v/>
      </c>
      <c r="AJ392" t="str">
        <f t="shared" si="37"/>
        <v/>
      </c>
      <c r="AK392"/>
      <c r="AL392"/>
      <c r="AM392"/>
      <c r="AN392" t="str">
        <f>IF(AM392&lt;&gt;"",CONCATENATE(AC392," &amp; ",SUBSTITUTE(AJ392,","," ")," &amp; ",SUBSTITUTE(AF392,"."," ")," &amp; ",AL392," &amp; ",AM392," \\"),"")</f>
        <v/>
      </c>
    </row>
    <row r="393" spans="1:40" s="8" customFormat="1" x14ac:dyDescent="0.2">
      <c r="A393" t="s">
        <v>625</v>
      </c>
      <c r="B393" t="s">
        <v>626</v>
      </c>
      <c r="C393">
        <v>12</v>
      </c>
      <c r="D393" t="s">
        <v>627</v>
      </c>
      <c r="E393" t="s">
        <v>628</v>
      </c>
      <c r="F393" t="s">
        <v>8</v>
      </c>
      <c r="G393" t="s">
        <v>625</v>
      </c>
      <c r="H393" t="s">
        <v>830</v>
      </c>
      <c r="I393" t="s">
        <v>1952</v>
      </c>
      <c r="J393" t="s">
        <v>1405</v>
      </c>
      <c r="K393" t="s">
        <v>842</v>
      </c>
      <c r="L393" t="s">
        <v>2005</v>
      </c>
      <c r="M393" t="s">
        <v>887</v>
      </c>
      <c r="N393">
        <v>2018</v>
      </c>
      <c r="O393" t="s">
        <v>830</v>
      </c>
      <c r="P393" t="s">
        <v>2007</v>
      </c>
      <c r="Q393" t="s">
        <v>830</v>
      </c>
      <c r="R393"/>
      <c r="S393"/>
      <c r="T393" t="s">
        <v>830</v>
      </c>
      <c r="U393" t="s">
        <v>830</v>
      </c>
      <c r="V393"/>
      <c r="W393" t="s">
        <v>2002</v>
      </c>
      <c r="X393" t="s">
        <v>2010</v>
      </c>
      <c r="Y393" t="s">
        <v>830</v>
      </c>
      <c r="Z393">
        <v>1</v>
      </c>
      <c r="AA393">
        <v>118</v>
      </c>
      <c r="AB393">
        <v>22.875</v>
      </c>
      <c r="AC393" t="str">
        <f t="shared" si="33"/>
        <v/>
      </c>
      <c r="AD393"/>
      <c r="AE393" t="str">
        <f t="shared" si="35"/>
        <v/>
      </c>
      <c r="AF393"/>
      <c r="AG393" s="15"/>
      <c r="AH393"/>
      <c r="AI393" t="str">
        <f t="shared" si="36"/>
        <v/>
      </c>
      <c r="AJ393" t="str">
        <f t="shared" si="37"/>
        <v/>
      </c>
      <c r="AK393"/>
      <c r="AL393"/>
      <c r="AM393"/>
      <c r="AN393" t="str">
        <f>IF(AM393&lt;&gt;"",CONCATENATE(AC393," &amp; ",SUBSTITUTE(AJ393,","," ")," &amp; ",SUBSTITUTE(AF393,"."," ")," &amp; ",AL393," &amp; ",AM393," \\"),"")</f>
        <v/>
      </c>
    </row>
    <row r="394" spans="1:40" s="8" customFormat="1" x14ac:dyDescent="0.2">
      <c r="A394" t="s">
        <v>625</v>
      </c>
      <c r="B394" t="s">
        <v>626</v>
      </c>
      <c r="C394">
        <v>30</v>
      </c>
      <c r="D394" t="s">
        <v>627</v>
      </c>
      <c r="E394" t="s">
        <v>628</v>
      </c>
      <c r="F394" t="s">
        <v>8</v>
      </c>
      <c r="G394" t="s">
        <v>625</v>
      </c>
      <c r="H394" t="s">
        <v>830</v>
      </c>
      <c r="I394" t="s">
        <v>1952</v>
      </c>
      <c r="J394" t="s">
        <v>1404</v>
      </c>
      <c r="K394" t="s">
        <v>842</v>
      </c>
      <c r="L394" t="s">
        <v>1484</v>
      </c>
      <c r="M394" t="s">
        <v>889</v>
      </c>
      <c r="N394">
        <v>2018</v>
      </c>
      <c r="O394" t="s">
        <v>830</v>
      </c>
      <c r="P394" t="s">
        <v>2007</v>
      </c>
      <c r="Q394" t="s">
        <v>830</v>
      </c>
      <c r="R394"/>
      <c r="S394"/>
      <c r="T394" t="s">
        <v>830</v>
      </c>
      <c r="U394" t="s">
        <v>830</v>
      </c>
      <c r="V394"/>
      <c r="W394" t="s">
        <v>2002</v>
      </c>
      <c r="X394" t="s">
        <v>2011</v>
      </c>
      <c r="Y394" t="s">
        <v>830</v>
      </c>
      <c r="Z394">
        <v>1</v>
      </c>
      <c r="AA394">
        <v>121</v>
      </c>
      <c r="AB394">
        <v>24.021000000000001</v>
      </c>
      <c r="AC394" t="str">
        <f t="shared" si="33"/>
        <v/>
      </c>
      <c r="AD394"/>
      <c r="AE394" t="str">
        <f t="shared" si="35"/>
        <v/>
      </c>
      <c r="AF394"/>
      <c r="AG394" s="15"/>
      <c r="AH394"/>
      <c r="AI394" t="str">
        <f t="shared" si="36"/>
        <v/>
      </c>
      <c r="AJ394" t="str">
        <f t="shared" si="37"/>
        <v/>
      </c>
      <c r="AN394" t="str">
        <f>IF(AM394&lt;&gt;"",CONCATENATE(AC394," &amp; ",SUBSTITUTE(AJ394,","," ")," &amp; ",SUBSTITUTE(AF394,"."," ")," &amp; ",AL394," &amp; ",AM394," \\"),"")</f>
        <v/>
      </c>
    </row>
    <row r="395" spans="1:40" x14ac:dyDescent="0.2">
      <c r="A395" t="s">
        <v>625</v>
      </c>
      <c r="B395" t="s">
        <v>626</v>
      </c>
      <c r="C395">
        <v>60</v>
      </c>
      <c r="D395" t="s">
        <v>627</v>
      </c>
      <c r="E395" t="s">
        <v>628</v>
      </c>
      <c r="F395" t="s">
        <v>8</v>
      </c>
      <c r="G395" t="s">
        <v>625</v>
      </c>
      <c r="H395" t="s">
        <v>830</v>
      </c>
      <c r="I395" t="s">
        <v>1952</v>
      </c>
      <c r="J395" t="s">
        <v>1384</v>
      </c>
      <c r="K395" t="s">
        <v>842</v>
      </c>
      <c r="L395" t="s">
        <v>2006</v>
      </c>
      <c r="M395" t="s">
        <v>888</v>
      </c>
      <c r="N395">
        <v>2018</v>
      </c>
      <c r="O395" t="s">
        <v>830</v>
      </c>
      <c r="P395" t="s">
        <v>2007</v>
      </c>
      <c r="Q395" t="s">
        <v>830</v>
      </c>
      <c r="T395" t="s">
        <v>830</v>
      </c>
      <c r="U395" t="s">
        <v>830</v>
      </c>
      <c r="W395" t="s">
        <v>2002</v>
      </c>
      <c r="X395" t="s">
        <v>2012</v>
      </c>
      <c r="Y395" t="s">
        <v>830</v>
      </c>
      <c r="Z395">
        <v>1</v>
      </c>
      <c r="AA395">
        <v>250</v>
      </c>
      <c r="AB395">
        <v>20</v>
      </c>
      <c r="AC395" t="str">
        <f t="shared" si="33"/>
        <v/>
      </c>
      <c r="AE395" t="str">
        <f t="shared" si="35"/>
        <v/>
      </c>
      <c r="AI395" t="str">
        <f t="shared" si="36"/>
        <v/>
      </c>
      <c r="AJ395" t="str">
        <f t="shared" si="37"/>
        <v/>
      </c>
      <c r="AK395" s="8"/>
      <c r="AL395" s="8"/>
      <c r="AM395" s="8"/>
      <c r="AN395" t="str">
        <f>IF(AM395&lt;&gt;"",CONCATENATE(AC395," &amp; ",SUBSTITUTE(AJ395,","," ")," &amp; ",SUBSTITUTE(AF395,"."," ")," &amp; ",AL395," &amp; ",AM395," \\"),"")</f>
        <v/>
      </c>
    </row>
    <row r="396" spans="1:40" x14ac:dyDescent="0.2">
      <c r="A396" t="s">
        <v>629</v>
      </c>
      <c r="B396" t="s">
        <v>630</v>
      </c>
      <c r="C396">
        <v>0</v>
      </c>
      <c r="D396" t="s">
        <v>631</v>
      </c>
      <c r="E396" t="s">
        <v>632</v>
      </c>
      <c r="F396" t="s">
        <v>8</v>
      </c>
      <c r="G396" t="s">
        <v>2755</v>
      </c>
      <c r="H396" t="s">
        <v>830</v>
      </c>
      <c r="I396" t="s">
        <v>2385</v>
      </c>
      <c r="J396" t="s">
        <v>1246</v>
      </c>
      <c r="K396" t="s">
        <v>840</v>
      </c>
      <c r="L396" t="s">
        <v>2758</v>
      </c>
      <c r="M396" t="s">
        <v>887</v>
      </c>
      <c r="N396">
        <v>2015</v>
      </c>
      <c r="O396" t="s">
        <v>830</v>
      </c>
      <c r="P396" t="s">
        <v>887</v>
      </c>
      <c r="Q396" t="s">
        <v>830</v>
      </c>
      <c r="T396" t="s">
        <v>830</v>
      </c>
      <c r="U396" t="s">
        <v>830</v>
      </c>
      <c r="W396" s="4" t="s">
        <v>2754</v>
      </c>
      <c r="X396" t="s">
        <v>2762</v>
      </c>
      <c r="Y396" t="s">
        <v>830</v>
      </c>
      <c r="Z396">
        <v>0</v>
      </c>
      <c r="AA396">
        <v>206</v>
      </c>
      <c r="AB396">
        <v>30</v>
      </c>
      <c r="AC396" t="str">
        <f t="shared" si="33"/>
        <v>TUYBIA</v>
      </c>
      <c r="AD396" t="s">
        <v>3299</v>
      </c>
      <c r="AE396" t="str">
        <f t="shared" si="35"/>
        <v>ChloromandelicAcid</v>
      </c>
      <c r="AF396" t="s">
        <v>3303</v>
      </c>
      <c r="AG396" s="15" t="s">
        <v>3132</v>
      </c>
      <c r="AH396" t="s">
        <v>2923</v>
      </c>
      <c r="AI396" t="str">
        <f t="shared" si="36"/>
        <v>CSD,version,6.01,with,Feb,2026,update</v>
      </c>
      <c r="AJ396" t="str">
        <f t="shared" si="37"/>
        <v>C8,H7,O3,Cl1</v>
      </c>
      <c r="AK396" s="8"/>
      <c r="AL396" s="8">
        <v>2</v>
      </c>
      <c r="AM396" s="8">
        <v>4</v>
      </c>
      <c r="AN396" t="str">
        <f>IF(AM396&lt;&gt;"",CONCATENATE(AC396," &amp; \ce{",SUBSTITUTE(AJ396,","," "),"} &amp; ",SUBSTITUTE(AF396,"."," ")," &amp; ",AL396," &amp; ",AM396," \\"),"")</f>
        <v>TUYBIA &amp; \ce{C8 H7 O3 Cl1} &amp; 3-Chloromandelic Acid &amp; 2 &amp; 4 \\</v>
      </c>
    </row>
    <row r="397" spans="1:40" s="8" customFormat="1" x14ac:dyDescent="0.2">
      <c r="A397" t="s">
        <v>629</v>
      </c>
      <c r="B397" t="s">
        <v>630</v>
      </c>
      <c r="C397">
        <v>10</v>
      </c>
      <c r="D397" t="s">
        <v>631</v>
      </c>
      <c r="E397" t="s">
        <v>632</v>
      </c>
      <c r="F397" t="s">
        <v>8</v>
      </c>
      <c r="G397" t="s">
        <v>2755</v>
      </c>
      <c r="H397" t="s">
        <v>830</v>
      </c>
      <c r="I397" t="s">
        <v>2385</v>
      </c>
      <c r="J397" t="s">
        <v>1244</v>
      </c>
      <c r="K397" t="s">
        <v>840</v>
      </c>
      <c r="L397" t="s">
        <v>2757</v>
      </c>
      <c r="M397" t="s">
        <v>887</v>
      </c>
      <c r="N397">
        <v>2015</v>
      </c>
      <c r="O397" t="s">
        <v>830</v>
      </c>
      <c r="P397" t="s">
        <v>887</v>
      </c>
      <c r="Q397" t="s">
        <v>830</v>
      </c>
      <c r="R397"/>
      <c r="S397"/>
      <c r="T397" t="s">
        <v>830</v>
      </c>
      <c r="U397" t="s">
        <v>830</v>
      </c>
      <c r="V397"/>
      <c r="W397" s="4" t="s">
        <v>2754</v>
      </c>
      <c r="X397" t="s">
        <v>2761</v>
      </c>
      <c r="Y397" t="s">
        <v>830</v>
      </c>
      <c r="Z397">
        <v>4</v>
      </c>
      <c r="AA397">
        <v>6591</v>
      </c>
      <c r="AB397">
        <v>31.530999999999999</v>
      </c>
      <c r="AC397" t="str">
        <f t="shared" si="33"/>
        <v/>
      </c>
      <c r="AD397"/>
      <c r="AE397" t="str">
        <f t="shared" si="35"/>
        <v/>
      </c>
      <c r="AF397"/>
      <c r="AG397" s="15"/>
      <c r="AH397"/>
      <c r="AI397" t="str">
        <f t="shared" si="36"/>
        <v/>
      </c>
      <c r="AJ397" t="str">
        <f t="shared" si="37"/>
        <v/>
      </c>
      <c r="AN397" t="str">
        <f>IF(AM397&lt;&gt;"",CONCATENATE(AC397," &amp; ",SUBSTITUTE(AJ397,","," ")," &amp; ",SUBSTITUTE(AF397,"."," ")," &amp; ",AL397," &amp; ",AM397," \\"),"")</f>
        <v/>
      </c>
    </row>
    <row r="398" spans="1:40" s="8" customFormat="1" x14ac:dyDescent="0.2">
      <c r="A398" t="s">
        <v>629</v>
      </c>
      <c r="B398" t="s">
        <v>630</v>
      </c>
      <c r="C398">
        <v>20</v>
      </c>
      <c r="D398" t="s">
        <v>631</v>
      </c>
      <c r="E398" t="s">
        <v>632</v>
      </c>
      <c r="F398" t="s">
        <v>8</v>
      </c>
      <c r="G398" t="s">
        <v>2755</v>
      </c>
      <c r="H398" t="s">
        <v>830</v>
      </c>
      <c r="I398" t="s">
        <v>2385</v>
      </c>
      <c r="J398" t="s">
        <v>1245</v>
      </c>
      <c r="K398" t="s">
        <v>840</v>
      </c>
      <c r="L398" t="s">
        <v>2756</v>
      </c>
      <c r="M398" t="s">
        <v>887</v>
      </c>
      <c r="N398">
        <v>2015</v>
      </c>
      <c r="O398" t="s">
        <v>830</v>
      </c>
      <c r="P398" t="s">
        <v>887</v>
      </c>
      <c r="Q398" t="s">
        <v>830</v>
      </c>
      <c r="R398"/>
      <c r="S398"/>
      <c r="T398" t="s">
        <v>830</v>
      </c>
      <c r="U398" t="s">
        <v>830</v>
      </c>
      <c r="V398"/>
      <c r="W398" s="4" t="s">
        <v>2754</v>
      </c>
      <c r="X398" t="s">
        <v>2760</v>
      </c>
      <c r="Y398" t="s">
        <v>830</v>
      </c>
      <c r="Z398">
        <v>3</v>
      </c>
      <c r="AA398">
        <v>8520</v>
      </c>
      <c r="AB398">
        <v>52.366</v>
      </c>
      <c r="AC398" t="str">
        <f t="shared" si="33"/>
        <v/>
      </c>
      <c r="AD398"/>
      <c r="AE398" t="str">
        <f t="shared" si="35"/>
        <v/>
      </c>
      <c r="AF398"/>
      <c r="AG398" s="15"/>
      <c r="AH398"/>
      <c r="AI398" t="str">
        <f t="shared" si="36"/>
        <v/>
      </c>
      <c r="AJ398" t="str">
        <f t="shared" si="37"/>
        <v/>
      </c>
      <c r="AK398"/>
      <c r="AL398"/>
      <c r="AM398"/>
      <c r="AN398" t="str">
        <f>IF(AM398&lt;&gt;"",CONCATENATE(AC398," &amp; ",SUBSTITUTE(AJ398,","," ")," &amp; ",SUBSTITUTE(AF398,"."," ")," &amp; ",AL398," &amp; ",AM398," \\"),"")</f>
        <v/>
      </c>
    </row>
    <row r="399" spans="1:40" x14ac:dyDescent="0.2">
      <c r="A399" t="s">
        <v>629</v>
      </c>
      <c r="B399" t="s">
        <v>630</v>
      </c>
      <c r="C399">
        <v>30</v>
      </c>
      <c r="D399" t="s">
        <v>631</v>
      </c>
      <c r="E399" t="s">
        <v>632</v>
      </c>
      <c r="F399" t="s">
        <v>8</v>
      </c>
      <c r="G399" t="s">
        <v>2755</v>
      </c>
      <c r="H399" t="s">
        <v>830</v>
      </c>
      <c r="I399" t="s">
        <v>2385</v>
      </c>
      <c r="J399" t="s">
        <v>1247</v>
      </c>
      <c r="K399" t="s">
        <v>840</v>
      </c>
      <c r="L399" t="s">
        <v>2763</v>
      </c>
      <c r="M399" t="s">
        <v>2765</v>
      </c>
      <c r="N399">
        <v>2015</v>
      </c>
      <c r="O399" t="s">
        <v>830</v>
      </c>
      <c r="P399" t="s">
        <v>2764</v>
      </c>
      <c r="Q399" t="s">
        <v>830</v>
      </c>
      <c r="T399" t="s">
        <v>830</v>
      </c>
      <c r="U399" t="s">
        <v>830</v>
      </c>
      <c r="W399" s="4" t="s">
        <v>2754</v>
      </c>
      <c r="X399" t="s">
        <v>2759</v>
      </c>
      <c r="Y399" t="s">
        <v>830</v>
      </c>
      <c r="Z399">
        <v>4</v>
      </c>
      <c r="AA399">
        <v>2094</v>
      </c>
      <c r="AB399">
        <v>21.068999999999999</v>
      </c>
      <c r="AC399" t="str">
        <f t="shared" si="33"/>
        <v/>
      </c>
      <c r="AE399" t="str">
        <f t="shared" si="35"/>
        <v/>
      </c>
      <c r="AI399" t="str">
        <f t="shared" si="36"/>
        <v/>
      </c>
      <c r="AJ399" t="str">
        <f t="shared" si="37"/>
        <v/>
      </c>
      <c r="AN399" t="str">
        <f>IF(AM399&lt;&gt;"",CONCATENATE(AC399," &amp; ",SUBSTITUTE(AJ399,","," ")," &amp; ",SUBSTITUTE(AF399,"."," ")," &amp; ",AL399," &amp; ",AM399," \\"),"")</f>
        <v/>
      </c>
    </row>
    <row r="400" spans="1:40" x14ac:dyDescent="0.2">
      <c r="A400" t="s">
        <v>633</v>
      </c>
      <c r="B400" t="s">
        <v>634</v>
      </c>
      <c r="C400">
        <v>0</v>
      </c>
      <c r="D400" t="s">
        <v>635</v>
      </c>
      <c r="E400" t="s">
        <v>635</v>
      </c>
      <c r="F400" t="s">
        <v>635</v>
      </c>
      <c r="G400" t="s">
        <v>8</v>
      </c>
      <c r="H400" t="s">
        <v>830</v>
      </c>
      <c r="I400" t="s">
        <v>1952</v>
      </c>
      <c r="J400" t="s">
        <v>1100</v>
      </c>
      <c r="K400" t="s">
        <v>843</v>
      </c>
      <c r="L400" t="s">
        <v>1553</v>
      </c>
      <c r="M400" t="s">
        <v>909</v>
      </c>
      <c r="N400" t="s">
        <v>1876</v>
      </c>
      <c r="O400" t="s">
        <v>947</v>
      </c>
      <c r="P400" t="s">
        <v>2032</v>
      </c>
      <c r="Q400" t="s">
        <v>830</v>
      </c>
      <c r="T400" t="s">
        <v>830</v>
      </c>
      <c r="U400" t="s">
        <v>830</v>
      </c>
      <c r="W400" t="s">
        <v>2034</v>
      </c>
      <c r="X400" t="s">
        <v>2036</v>
      </c>
      <c r="Y400" t="s">
        <v>830</v>
      </c>
      <c r="Z400">
        <v>0</v>
      </c>
      <c r="AA400">
        <v>668</v>
      </c>
      <c r="AB400">
        <v>27.38</v>
      </c>
      <c r="AC400" t="str">
        <f t="shared" si="33"/>
        <v>UCLANA</v>
      </c>
      <c r="AD400" t="s">
        <v>2892</v>
      </c>
      <c r="AE400" t="str">
        <f t="shared" si="35"/>
        <v>3aminobenzamide</v>
      </c>
      <c r="AF400" t="s">
        <v>2943</v>
      </c>
      <c r="AG400" s="15" t="s">
        <v>2894</v>
      </c>
      <c r="AH400" t="s">
        <v>2884</v>
      </c>
      <c r="AI400" t="str">
        <f t="shared" si="36"/>
        <v>CSD,version,6.01</v>
      </c>
      <c r="AJ400" t="str">
        <f t="shared" si="37"/>
        <v>C7,H8,N2,O1</v>
      </c>
      <c r="AK400" s="8" t="s">
        <v>3127</v>
      </c>
      <c r="AL400" s="8">
        <v>1</v>
      </c>
      <c r="AM400" s="8">
        <v>1</v>
      </c>
      <c r="AN400" t="str">
        <f>IF(AM400&lt;&gt;"",CONCATENATE(AC400," &amp; \ce{",SUBSTITUTE(AJ400,","," "),"} &amp; ",SUBSTITUTE(AF400,"."," ")," &amp; ",AL400," &amp; ",AM400," \\"),"")</f>
        <v>UCLANA &amp; \ce{C7 H8 N2 O1} &amp; 3-aminobenzamide &amp; 1 &amp; 1 \\</v>
      </c>
    </row>
    <row r="401" spans="1:40" ht="15" x14ac:dyDescent="0.25">
      <c r="A401" t="s">
        <v>642</v>
      </c>
      <c r="B401" s="17" t="s">
        <v>3042</v>
      </c>
      <c r="C401">
        <v>10</v>
      </c>
      <c r="D401" t="s">
        <v>643</v>
      </c>
      <c r="E401" t="s">
        <v>644</v>
      </c>
      <c r="F401" t="s">
        <v>8</v>
      </c>
      <c r="G401" t="s">
        <v>2480</v>
      </c>
      <c r="H401" t="s">
        <v>830</v>
      </c>
      <c r="I401" t="s">
        <v>2385</v>
      </c>
      <c r="J401" t="s">
        <v>1266</v>
      </c>
      <c r="K401" t="s">
        <v>898</v>
      </c>
      <c r="L401" t="s">
        <v>1667</v>
      </c>
      <c r="M401" t="s">
        <v>887</v>
      </c>
      <c r="N401">
        <v>2011</v>
      </c>
      <c r="O401" t="s">
        <v>830</v>
      </c>
      <c r="P401" t="s">
        <v>2502</v>
      </c>
      <c r="Q401" t="s">
        <v>830</v>
      </c>
      <c r="T401" t="s">
        <v>830</v>
      </c>
      <c r="U401" t="s">
        <v>830</v>
      </c>
      <c r="W401" t="s">
        <v>2499</v>
      </c>
      <c r="X401" t="s">
        <v>2520</v>
      </c>
      <c r="Y401" t="s">
        <v>830</v>
      </c>
      <c r="Z401">
        <v>0</v>
      </c>
      <c r="AA401">
        <v>23</v>
      </c>
      <c r="AB401">
        <v>5.0449999999999999</v>
      </c>
      <c r="AC401" t="str">
        <f t="shared" si="33"/>
        <v>UCLDBB</v>
      </c>
      <c r="AD401" t="s">
        <v>3284</v>
      </c>
      <c r="AE401" t="str">
        <f t="shared" si="35"/>
        <v>bResorcylicAcidDihydrate</v>
      </c>
      <c r="AF401" t="s">
        <v>3245</v>
      </c>
      <c r="AG401" s="15" t="s">
        <v>2889</v>
      </c>
      <c r="AH401" t="s">
        <v>2923</v>
      </c>
      <c r="AI401" t="str">
        <f t="shared" si="36"/>
        <v>CSD,version,6.01,with,Feb,2026,update</v>
      </c>
      <c r="AJ401" t="str">
        <f t="shared" si="37"/>
        <v>C7,H6,O4,.,H2,O1,.,H2,O1</v>
      </c>
      <c r="AK401" s="4" t="s">
        <v>3127</v>
      </c>
      <c r="AL401">
        <v>1</v>
      </c>
      <c r="AM401">
        <v>3</v>
      </c>
      <c r="AN401" t="str">
        <f>IF(AM401&lt;&gt;"",CONCATENATE(AC401," &amp; \ce{",SUBSTITUTE(AJ401,","," "),"} &amp; ",SUBSTITUTE(AF401,"."," ")," &amp; ",AL401," &amp; ",AM401," \\"),"")</f>
        <v>UCLDBB &amp; \ce{C7 H6 O4 . H2 O1 . H2 O1} &amp; beta-Resorcylic Acid Dihydrate &amp; 1 &amp; 3 \\</v>
      </c>
    </row>
    <row r="402" spans="1:40" ht="15" x14ac:dyDescent="0.25">
      <c r="A402" t="s">
        <v>642</v>
      </c>
      <c r="B402" s="17" t="s">
        <v>3042</v>
      </c>
      <c r="C402">
        <v>20</v>
      </c>
      <c r="D402" t="s">
        <v>643</v>
      </c>
      <c r="E402" t="s">
        <v>644</v>
      </c>
      <c r="F402" t="s">
        <v>8</v>
      </c>
      <c r="G402" t="s">
        <v>2480</v>
      </c>
      <c r="H402" t="s">
        <v>830</v>
      </c>
      <c r="I402" t="s">
        <v>2385</v>
      </c>
      <c r="J402" t="s">
        <v>1265</v>
      </c>
      <c r="K402" t="s">
        <v>898</v>
      </c>
      <c r="L402" t="s">
        <v>2233</v>
      </c>
      <c r="M402" t="s">
        <v>887</v>
      </c>
      <c r="N402">
        <v>2011</v>
      </c>
      <c r="O402" t="s">
        <v>830</v>
      </c>
      <c r="P402" t="s">
        <v>2502</v>
      </c>
      <c r="Q402" t="s">
        <v>830</v>
      </c>
      <c r="T402" t="s">
        <v>830</v>
      </c>
      <c r="U402" t="s">
        <v>830</v>
      </c>
      <c r="W402" t="s">
        <v>2499</v>
      </c>
      <c r="X402" t="s">
        <v>2521</v>
      </c>
      <c r="Y402" t="s">
        <v>830</v>
      </c>
      <c r="Z402">
        <v>0</v>
      </c>
      <c r="AA402">
        <v>1627</v>
      </c>
      <c r="AB402">
        <v>20</v>
      </c>
      <c r="AC402" t="str">
        <f t="shared" si="33"/>
        <v/>
      </c>
      <c r="AE402" t="str">
        <f t="shared" si="35"/>
        <v/>
      </c>
      <c r="AI402" t="str">
        <f t="shared" si="36"/>
        <v/>
      </c>
      <c r="AJ402" t="str">
        <f t="shared" si="37"/>
        <v/>
      </c>
      <c r="AN402" t="str">
        <f>IF(AM402&lt;&gt;"",CONCATENATE(AC402," &amp; ",SUBSTITUTE(AJ402,","," ")," &amp; ",SUBSTITUTE(AF402,"."," ")," &amp; ",AL402," &amp; ",AM402," \\"),"")</f>
        <v/>
      </c>
    </row>
    <row r="403" spans="1:40" ht="15" x14ac:dyDescent="0.25">
      <c r="A403" t="s">
        <v>642</v>
      </c>
      <c r="B403" s="17" t="s">
        <v>3042</v>
      </c>
      <c r="C403">
        <v>30</v>
      </c>
      <c r="D403" t="s">
        <v>645</v>
      </c>
      <c r="E403" t="s">
        <v>644</v>
      </c>
      <c r="F403" t="s">
        <v>8</v>
      </c>
      <c r="G403" t="s">
        <v>2480</v>
      </c>
      <c r="H403" t="s">
        <v>830</v>
      </c>
      <c r="I403" t="s">
        <v>2385</v>
      </c>
      <c r="J403" t="s">
        <v>1267</v>
      </c>
      <c r="K403" t="s">
        <v>898</v>
      </c>
      <c r="L403" t="s">
        <v>1527</v>
      </c>
      <c r="M403" t="s">
        <v>2509</v>
      </c>
      <c r="N403">
        <v>2011</v>
      </c>
      <c r="O403" t="s">
        <v>830</v>
      </c>
      <c r="P403" t="s">
        <v>2502</v>
      </c>
      <c r="Q403" t="s">
        <v>830</v>
      </c>
      <c r="T403" t="s">
        <v>830</v>
      </c>
      <c r="U403" t="s">
        <v>830</v>
      </c>
      <c r="W403" t="s">
        <v>2499</v>
      </c>
      <c r="X403" t="s">
        <v>2522</v>
      </c>
      <c r="Y403" t="s">
        <v>830</v>
      </c>
      <c r="Z403">
        <v>0</v>
      </c>
      <c r="AA403">
        <v>20</v>
      </c>
      <c r="AB403">
        <v>11.6</v>
      </c>
      <c r="AC403" t="str">
        <f t="shared" si="33"/>
        <v/>
      </c>
      <c r="AE403" t="str">
        <f t="shared" si="35"/>
        <v/>
      </c>
      <c r="AI403" t="str">
        <f t="shared" si="36"/>
        <v/>
      </c>
      <c r="AJ403" t="str">
        <f t="shared" si="37"/>
        <v/>
      </c>
      <c r="AN403" t="str">
        <f>IF(AM403&lt;&gt;"",CONCATENATE(AC403," &amp; ",SUBSTITUTE(AJ403,","," ")," &amp; ",SUBSTITUTE(AF403,"."," ")," &amp; ",AL403," &amp; ",AM403," \\"),"")</f>
        <v/>
      </c>
    </row>
    <row r="404" spans="1:40" ht="15" x14ac:dyDescent="0.25">
      <c r="A404" t="s">
        <v>646</v>
      </c>
      <c r="B404" s="17" t="s">
        <v>3034</v>
      </c>
      <c r="C404">
        <v>30</v>
      </c>
      <c r="D404" t="s">
        <v>647</v>
      </c>
      <c r="E404" t="s">
        <v>648</v>
      </c>
      <c r="F404" t="s">
        <v>8</v>
      </c>
      <c r="G404" t="s">
        <v>8</v>
      </c>
      <c r="H404" t="s">
        <v>830</v>
      </c>
      <c r="I404" t="s">
        <v>2385</v>
      </c>
      <c r="J404" t="s">
        <v>1338</v>
      </c>
      <c r="K404" t="s">
        <v>898</v>
      </c>
      <c r="L404" t="s">
        <v>2421</v>
      </c>
      <c r="M404" t="s">
        <v>2416</v>
      </c>
      <c r="N404">
        <v>2011</v>
      </c>
      <c r="O404" t="s">
        <v>830</v>
      </c>
      <c r="P404" t="s">
        <v>2599</v>
      </c>
      <c r="Q404" t="s">
        <v>830</v>
      </c>
      <c r="T404" t="s">
        <v>830</v>
      </c>
      <c r="U404" t="s">
        <v>830</v>
      </c>
      <c r="W404" t="s">
        <v>2420</v>
      </c>
      <c r="X404" t="s">
        <v>2422</v>
      </c>
      <c r="Y404" t="s">
        <v>830</v>
      </c>
      <c r="Z404">
        <v>0</v>
      </c>
      <c r="AA404">
        <v>15</v>
      </c>
      <c r="AB404">
        <v>10.571</v>
      </c>
      <c r="AC404" t="str">
        <f t="shared" si="33"/>
        <v>UCLDBC</v>
      </c>
      <c r="AD404" t="s">
        <v>3203</v>
      </c>
      <c r="AE404" t="str">
        <f t="shared" si="35"/>
        <v>GentisicAcidHH</v>
      </c>
      <c r="AF404" t="s">
        <v>3233</v>
      </c>
      <c r="AG404" s="15" t="s">
        <v>2919</v>
      </c>
      <c r="AH404" t="s">
        <v>2884</v>
      </c>
      <c r="AI404" t="str">
        <f t="shared" si="36"/>
        <v>CSD,version,6.01,with,Feb,2026,update</v>
      </c>
      <c r="AJ404" t="str">
        <f t="shared" si="37"/>
        <v>C7,H6,O4,.,C7,H6,O4,.,H2,O1</v>
      </c>
      <c r="AK404" t="s">
        <v>3127</v>
      </c>
      <c r="AL404">
        <v>1</v>
      </c>
      <c r="AM404">
        <v>1</v>
      </c>
      <c r="AN404" t="str">
        <f t="shared" ref="AN404:AN409" si="38">IF(AM404&lt;&gt;"",CONCATENATE(AC404," &amp; \ce{",SUBSTITUTE(AJ404,","," "),"} &amp; ",SUBSTITUTE(AF404,"."," ")," &amp; ",AL404," &amp; ",AM404," \\"),"")</f>
        <v>UCLDBC &amp; \ce{C7 H6 O4 . C7 H6 O4 . H2 O1} &amp; Gentisic Acid Hemihydrate &amp; 1 &amp; 1 \\</v>
      </c>
    </row>
    <row r="405" spans="1:40" ht="15" x14ac:dyDescent="0.25">
      <c r="A405" t="s">
        <v>649</v>
      </c>
      <c r="B405" s="17" t="s">
        <v>3041</v>
      </c>
      <c r="C405">
        <v>30</v>
      </c>
      <c r="D405" t="s">
        <v>650</v>
      </c>
      <c r="E405" t="s">
        <v>651</v>
      </c>
      <c r="F405" t="s">
        <v>8</v>
      </c>
      <c r="G405" t="s">
        <v>8</v>
      </c>
      <c r="H405" t="s">
        <v>830</v>
      </c>
      <c r="I405" t="s">
        <v>2385</v>
      </c>
      <c r="J405" t="s">
        <v>1339</v>
      </c>
      <c r="K405" t="s">
        <v>898</v>
      </c>
      <c r="L405" t="s">
        <v>2421</v>
      </c>
      <c r="M405" t="s">
        <v>2416</v>
      </c>
      <c r="N405">
        <v>2011</v>
      </c>
      <c r="O405" t="s">
        <v>830</v>
      </c>
      <c r="P405" t="s">
        <v>2599</v>
      </c>
      <c r="Q405" t="s">
        <v>830</v>
      </c>
      <c r="T405" t="s">
        <v>830</v>
      </c>
      <c r="U405" t="s">
        <v>830</v>
      </c>
      <c r="W405" t="s">
        <v>2420</v>
      </c>
      <c r="X405" t="s">
        <v>2423</v>
      </c>
      <c r="Y405" t="s">
        <v>830</v>
      </c>
      <c r="Z405">
        <v>0</v>
      </c>
      <c r="AA405">
        <v>29</v>
      </c>
      <c r="AB405">
        <v>9.9060000000000006</v>
      </c>
      <c r="AC405" t="str">
        <f t="shared" si="33"/>
        <v>UCLDBD</v>
      </c>
      <c r="AD405" t="s">
        <v>3204</v>
      </c>
      <c r="AE405" t="str">
        <f t="shared" si="35"/>
        <v>GentisicAcidMH</v>
      </c>
      <c r="AF405" t="s">
        <v>3235</v>
      </c>
      <c r="AG405" s="15" t="s">
        <v>2919</v>
      </c>
      <c r="AH405" t="s">
        <v>2884</v>
      </c>
      <c r="AI405" t="str">
        <f t="shared" si="36"/>
        <v>CSD,version,6.01,with,Feb,2026,update</v>
      </c>
      <c r="AJ405" t="str">
        <f t="shared" si="37"/>
        <v>C7,H6,O4,.,H2,O1</v>
      </c>
      <c r="AK405" t="s">
        <v>3127</v>
      </c>
      <c r="AL405">
        <v>1</v>
      </c>
      <c r="AM405">
        <v>1</v>
      </c>
      <c r="AN405" t="str">
        <f t="shared" si="38"/>
        <v>UCLDBD &amp; \ce{C7 H6 O4 . H2 O1} &amp; Gentisic Acid Monohydrate &amp; 1 &amp; 1 \\</v>
      </c>
    </row>
    <row r="406" spans="1:40" ht="15" x14ac:dyDescent="0.25">
      <c r="A406" t="s">
        <v>652</v>
      </c>
      <c r="B406" s="17" t="s">
        <v>3042</v>
      </c>
      <c r="C406">
        <v>30</v>
      </c>
      <c r="D406" t="s">
        <v>653</v>
      </c>
      <c r="E406" t="s">
        <v>654</v>
      </c>
      <c r="F406" t="s">
        <v>8</v>
      </c>
      <c r="G406" t="s">
        <v>8</v>
      </c>
      <c r="H406" t="s">
        <v>830</v>
      </c>
      <c r="I406" t="s">
        <v>2385</v>
      </c>
      <c r="J406" t="s">
        <v>1337</v>
      </c>
      <c r="K406" t="s">
        <v>898</v>
      </c>
      <c r="L406" t="s">
        <v>2421</v>
      </c>
      <c r="M406" t="s">
        <v>2416</v>
      </c>
      <c r="N406">
        <v>2011</v>
      </c>
      <c r="O406" t="s">
        <v>830</v>
      </c>
      <c r="P406" t="s">
        <v>2599</v>
      </c>
      <c r="Q406" t="s">
        <v>830</v>
      </c>
      <c r="T406" t="s">
        <v>830</v>
      </c>
      <c r="U406" t="s">
        <v>830</v>
      </c>
      <c r="W406" t="s">
        <v>2420</v>
      </c>
      <c r="X406" t="s">
        <v>2424</v>
      </c>
      <c r="Y406" t="s">
        <v>830</v>
      </c>
      <c r="Z406">
        <v>0</v>
      </c>
      <c r="AA406">
        <v>20</v>
      </c>
      <c r="AB406">
        <v>22.291</v>
      </c>
      <c r="AC406" t="str">
        <f t="shared" si="33"/>
        <v>UCLDBE</v>
      </c>
      <c r="AD406" t="s">
        <v>3205</v>
      </c>
      <c r="AE406" t="str">
        <f t="shared" si="35"/>
        <v>GentisicAcidDH</v>
      </c>
      <c r="AF406" t="s">
        <v>3234</v>
      </c>
      <c r="AG406" s="15" t="s">
        <v>2919</v>
      </c>
      <c r="AH406" t="s">
        <v>2884</v>
      </c>
      <c r="AI406" t="str">
        <f t="shared" si="36"/>
        <v>CSD,version,6.01,with,Feb,2026,update</v>
      </c>
      <c r="AJ406" t="str">
        <f t="shared" si="37"/>
        <v>C7,H6,O4,.,H2,O1,.,H2,O1</v>
      </c>
      <c r="AK406" t="s">
        <v>3127</v>
      </c>
      <c r="AL406">
        <v>1</v>
      </c>
      <c r="AM406">
        <v>1</v>
      </c>
      <c r="AN406" t="str">
        <f t="shared" si="38"/>
        <v>UCLDBE &amp; \ce{C7 H6 O4 . H2 O1 . H2 O1} &amp; Gentisic Acid Dihydrate &amp; 1 &amp; 1 \\</v>
      </c>
    </row>
    <row r="407" spans="1:40" ht="15" x14ac:dyDescent="0.25">
      <c r="A407" t="s">
        <v>655</v>
      </c>
      <c r="B407" s="17" t="s">
        <v>3043</v>
      </c>
      <c r="C407">
        <v>60</v>
      </c>
      <c r="D407" t="s">
        <v>656</v>
      </c>
      <c r="E407" t="s">
        <v>2739</v>
      </c>
      <c r="F407" t="s">
        <v>8</v>
      </c>
      <c r="G407" t="s">
        <v>1598</v>
      </c>
      <c r="H407" t="s">
        <v>830</v>
      </c>
      <c r="I407" t="s">
        <v>2385</v>
      </c>
      <c r="J407" t="s">
        <v>1322</v>
      </c>
      <c r="K407" t="s">
        <v>839</v>
      </c>
      <c r="L407" t="s">
        <v>2740</v>
      </c>
      <c r="M407" t="s">
        <v>889</v>
      </c>
      <c r="N407">
        <v>2019</v>
      </c>
      <c r="O407" t="s">
        <v>830</v>
      </c>
      <c r="P407" t="s">
        <v>2734</v>
      </c>
      <c r="Q407" t="s">
        <v>830</v>
      </c>
      <c r="T407" t="s">
        <v>830</v>
      </c>
      <c r="U407" t="s">
        <v>830</v>
      </c>
      <c r="W407" t="s">
        <v>2692</v>
      </c>
      <c r="X407" t="s">
        <v>2741</v>
      </c>
      <c r="Y407" t="s">
        <v>830</v>
      </c>
      <c r="Z407">
        <v>0</v>
      </c>
      <c r="AA407">
        <v>5596</v>
      </c>
      <c r="AB407">
        <v>31.004999999999999</v>
      </c>
      <c r="AC407" t="str">
        <f t="shared" si="33"/>
        <v>UCLDKB</v>
      </c>
      <c r="AD407" t="s">
        <v>3087</v>
      </c>
      <c r="AE407" t="str">
        <f t="shared" si="35"/>
        <v>CaffeineParacetamol</v>
      </c>
      <c r="AF407" t="s">
        <v>3118</v>
      </c>
      <c r="AG407" s="15" t="s">
        <v>3132</v>
      </c>
      <c r="AH407" t="s">
        <v>2884</v>
      </c>
      <c r="AI407" t="str">
        <f t="shared" si="36"/>
        <v>CSD,version,6.01,with,Feb,2026,update</v>
      </c>
      <c r="AJ407" t="str">
        <f t="shared" si="37"/>
        <v>C8,H10,N4,O2,.,C8,H9,N1,O2</v>
      </c>
      <c r="AK407" t="s">
        <v>3127</v>
      </c>
      <c r="AL407">
        <v>1</v>
      </c>
      <c r="AM407">
        <v>1</v>
      </c>
      <c r="AN407" t="str">
        <f t="shared" si="38"/>
        <v>UCLDKB &amp; \ce{C8 H10 N4 O2 . C8 H9 N1 O2} &amp; Caffeine Paracetamol cocrystal &amp; 1 &amp; 1 \\</v>
      </c>
    </row>
    <row r="408" spans="1:40" x14ac:dyDescent="0.2">
      <c r="A408" t="s">
        <v>664</v>
      </c>
      <c r="B408" t="s">
        <v>217</v>
      </c>
      <c r="C408">
        <v>0</v>
      </c>
      <c r="D408" t="s">
        <v>665</v>
      </c>
      <c r="E408" t="s">
        <v>666</v>
      </c>
      <c r="F408" t="s">
        <v>667</v>
      </c>
      <c r="G408" t="s">
        <v>2480</v>
      </c>
      <c r="H408" t="s">
        <v>830</v>
      </c>
      <c r="I408" t="s">
        <v>2385</v>
      </c>
      <c r="J408" t="s">
        <v>1105</v>
      </c>
      <c r="K408" t="s">
        <v>845</v>
      </c>
      <c r="L408" t="s">
        <v>1553</v>
      </c>
      <c r="M408" t="s">
        <v>876</v>
      </c>
      <c r="N408" t="s">
        <v>1876</v>
      </c>
      <c r="O408" t="s">
        <v>830</v>
      </c>
      <c r="P408" t="s">
        <v>2559</v>
      </c>
      <c r="Q408" t="s">
        <v>830</v>
      </c>
      <c r="T408" t="s">
        <v>830</v>
      </c>
      <c r="U408" t="s">
        <v>830</v>
      </c>
      <c r="W408" t="s">
        <v>2526</v>
      </c>
      <c r="X408" t="s">
        <v>2560</v>
      </c>
      <c r="Y408" t="s">
        <v>830</v>
      </c>
      <c r="Z408">
        <v>0</v>
      </c>
      <c r="AA408">
        <v>150</v>
      </c>
      <c r="AB408">
        <v>10</v>
      </c>
      <c r="AC408" t="str">
        <f t="shared" si="33"/>
        <v>UCLHOF</v>
      </c>
      <c r="AD408" t="s">
        <v>3230</v>
      </c>
      <c r="AE408" t="str">
        <f t="shared" si="35"/>
        <v>4Hydroxycoumarin</v>
      </c>
      <c r="AF408" t="s">
        <v>3449</v>
      </c>
      <c r="AG408" s="15" t="s">
        <v>2889</v>
      </c>
      <c r="AH408" t="s">
        <v>2884</v>
      </c>
      <c r="AI408" t="str">
        <f t="shared" si="36"/>
        <v>CSD,version,6.01,with,Feb,2026,update</v>
      </c>
      <c r="AJ408" t="str">
        <f t="shared" si="37"/>
        <v>C9,H6,O3</v>
      </c>
      <c r="AK408" t="s">
        <v>3127</v>
      </c>
      <c r="AL408">
        <v>1</v>
      </c>
      <c r="AM408">
        <v>1</v>
      </c>
      <c r="AN408" t="str">
        <f t="shared" si="38"/>
        <v>UCLHOF &amp; \ce{C9 H6 O3} &amp; 4-Hydroxycoumarin &amp; 1 &amp; 1 \\</v>
      </c>
    </row>
    <row r="409" spans="1:40" ht="15" x14ac:dyDescent="0.25">
      <c r="A409" t="s">
        <v>668</v>
      </c>
      <c r="B409" s="17" t="s">
        <v>3044</v>
      </c>
      <c r="C409">
        <v>10</v>
      </c>
      <c r="D409" t="s">
        <v>669</v>
      </c>
      <c r="E409" t="s">
        <v>670</v>
      </c>
      <c r="F409" t="s">
        <v>8</v>
      </c>
      <c r="G409" t="s">
        <v>2480</v>
      </c>
      <c r="H409" t="s">
        <v>830</v>
      </c>
      <c r="I409" t="s">
        <v>2385</v>
      </c>
      <c r="J409" t="s">
        <v>1458</v>
      </c>
      <c r="K409" t="s">
        <v>842</v>
      </c>
      <c r="L409" t="s">
        <v>2492</v>
      </c>
      <c r="M409" t="s">
        <v>876</v>
      </c>
      <c r="N409">
        <v>2016</v>
      </c>
      <c r="O409" t="s">
        <v>830</v>
      </c>
      <c r="P409" t="s">
        <v>887</v>
      </c>
      <c r="Q409" t="s">
        <v>830</v>
      </c>
      <c r="T409" t="s">
        <v>830</v>
      </c>
      <c r="U409" t="s">
        <v>830</v>
      </c>
      <c r="W409" t="s">
        <v>2499</v>
      </c>
      <c r="X409" t="s">
        <v>2493</v>
      </c>
      <c r="Y409" t="s">
        <v>830</v>
      </c>
      <c r="Z409">
        <v>0</v>
      </c>
      <c r="AA409">
        <v>159</v>
      </c>
      <c r="AB409">
        <v>30.353000000000002</v>
      </c>
      <c r="AC409" t="str">
        <f t="shared" si="33"/>
        <v>UCLLIA</v>
      </c>
      <c r="AD409" t="s">
        <v>3306</v>
      </c>
      <c r="AE409" t="str">
        <f t="shared" si="35"/>
        <v>TetrazolPyrazine</v>
      </c>
      <c r="AF409" t="s">
        <v>3248</v>
      </c>
      <c r="AG409" s="15" t="s">
        <v>2889</v>
      </c>
      <c r="AH409" t="s">
        <v>2923</v>
      </c>
      <c r="AI409" t="str">
        <f t="shared" si="36"/>
        <v>CSD,version,6.01,with,Feb,2026,update</v>
      </c>
      <c r="AJ409" t="str">
        <f t="shared" si="37"/>
        <v>C8,H4,N18</v>
      </c>
      <c r="AK409" s="4" t="s">
        <v>3127</v>
      </c>
      <c r="AL409">
        <v>1</v>
      </c>
      <c r="AM409">
        <v>3</v>
      </c>
      <c r="AN409" t="str">
        <f t="shared" si="38"/>
        <v>UCLLIA &amp; \ce{C8 H4 N18} &amp; Tetrazol Pyrazine &amp; 1 &amp; 3 \\</v>
      </c>
    </row>
    <row r="410" spans="1:40" ht="15" x14ac:dyDescent="0.25">
      <c r="A410" t="s">
        <v>668</v>
      </c>
      <c r="B410" s="17" t="s">
        <v>3044</v>
      </c>
      <c r="C410">
        <v>11</v>
      </c>
      <c r="D410" t="s">
        <v>669</v>
      </c>
      <c r="E410" t="s">
        <v>670</v>
      </c>
      <c r="F410" t="s">
        <v>8</v>
      </c>
      <c r="G410" t="s">
        <v>2480</v>
      </c>
      <c r="H410" t="s">
        <v>830</v>
      </c>
      <c r="I410" t="s">
        <v>2385</v>
      </c>
      <c r="J410" t="s">
        <v>1459</v>
      </c>
      <c r="K410" t="s">
        <v>842</v>
      </c>
      <c r="L410" t="s">
        <v>2156</v>
      </c>
      <c r="M410" t="s">
        <v>876</v>
      </c>
      <c r="N410">
        <v>2016</v>
      </c>
      <c r="O410" t="s">
        <v>830</v>
      </c>
      <c r="P410" t="s">
        <v>887</v>
      </c>
      <c r="Q410" t="s">
        <v>830</v>
      </c>
      <c r="T410" t="s">
        <v>830</v>
      </c>
      <c r="U410" t="s">
        <v>830</v>
      </c>
      <c r="W410" t="s">
        <v>2499</v>
      </c>
      <c r="X410" t="s">
        <v>2494</v>
      </c>
      <c r="Y410" t="s">
        <v>830</v>
      </c>
      <c r="Z410">
        <v>0</v>
      </c>
      <c r="AA410">
        <v>159</v>
      </c>
      <c r="AB410">
        <v>27.503</v>
      </c>
      <c r="AC410" t="str">
        <f t="shared" si="33"/>
        <v/>
      </c>
      <c r="AE410" t="str">
        <f t="shared" si="35"/>
        <v/>
      </c>
      <c r="AI410" t="str">
        <f t="shared" si="36"/>
        <v/>
      </c>
      <c r="AJ410" t="str">
        <f t="shared" si="37"/>
        <v/>
      </c>
      <c r="AN410" t="str">
        <f>IF(AM410&lt;&gt;"",CONCATENATE(AC410," &amp; ",SUBSTITUTE(AJ410,","," ")," &amp; ",SUBSTITUTE(AF410,"."," ")," &amp; ",AL410," &amp; ",AM410," \\"),"")</f>
        <v/>
      </c>
    </row>
    <row r="411" spans="1:40" ht="15" x14ac:dyDescent="0.25">
      <c r="A411" t="s">
        <v>668</v>
      </c>
      <c r="B411" s="17" t="s">
        <v>3044</v>
      </c>
      <c r="C411">
        <v>30</v>
      </c>
      <c r="D411" t="s">
        <v>669</v>
      </c>
      <c r="E411" t="s">
        <v>670</v>
      </c>
      <c r="F411" t="s">
        <v>8</v>
      </c>
      <c r="G411" t="s">
        <v>2480</v>
      </c>
      <c r="H411" t="s">
        <v>830</v>
      </c>
      <c r="I411" t="s">
        <v>2385</v>
      </c>
      <c r="J411" t="s">
        <v>1460</v>
      </c>
      <c r="K411" t="s">
        <v>842</v>
      </c>
      <c r="L411" t="s">
        <v>1484</v>
      </c>
      <c r="M411" t="s">
        <v>876</v>
      </c>
      <c r="N411">
        <v>2016</v>
      </c>
      <c r="O411" t="s">
        <v>830</v>
      </c>
      <c r="P411" t="s">
        <v>2490</v>
      </c>
      <c r="Q411" t="s">
        <v>830</v>
      </c>
      <c r="T411" t="s">
        <v>830</v>
      </c>
      <c r="U411" t="s">
        <v>830</v>
      </c>
      <c r="W411" t="s">
        <v>2499</v>
      </c>
      <c r="X411" t="s">
        <v>2495</v>
      </c>
      <c r="Y411" t="s">
        <v>830</v>
      </c>
      <c r="Z411">
        <v>0</v>
      </c>
      <c r="AA411">
        <v>157</v>
      </c>
      <c r="AB411">
        <v>45.118000000000002</v>
      </c>
      <c r="AC411" t="str">
        <f t="shared" si="33"/>
        <v/>
      </c>
      <c r="AE411" t="str">
        <f t="shared" si="35"/>
        <v/>
      </c>
      <c r="AI411" t="str">
        <f t="shared" si="36"/>
        <v/>
      </c>
      <c r="AJ411" t="str">
        <f t="shared" si="37"/>
        <v/>
      </c>
      <c r="AN411" t="str">
        <f>IF(AM411&lt;&gt;"",CONCATENATE(AC411," &amp; ",SUBSTITUTE(AJ411,","," ")," &amp; ",SUBSTITUTE(AF411,"."," ")," &amp; ",AL411," &amp; ",AM411," \\"),"")</f>
        <v/>
      </c>
    </row>
    <row r="412" spans="1:40" ht="15" x14ac:dyDescent="0.25">
      <c r="A412" t="s">
        <v>671</v>
      </c>
      <c r="B412" s="17" t="s">
        <v>3045</v>
      </c>
      <c r="C412">
        <v>10</v>
      </c>
      <c r="D412" t="s">
        <v>672</v>
      </c>
      <c r="E412" t="s">
        <v>673</v>
      </c>
      <c r="F412" t="s">
        <v>8</v>
      </c>
      <c r="G412" t="s">
        <v>2480</v>
      </c>
      <c r="H412" t="s">
        <v>830</v>
      </c>
      <c r="I412" t="s">
        <v>2385</v>
      </c>
      <c r="J412" t="s">
        <v>1461</v>
      </c>
      <c r="K412" t="s">
        <v>842</v>
      </c>
      <c r="L412" t="s">
        <v>2492</v>
      </c>
      <c r="M412" t="s">
        <v>876</v>
      </c>
      <c r="N412">
        <v>2016</v>
      </c>
      <c r="O412" t="s">
        <v>830</v>
      </c>
      <c r="P412" t="s">
        <v>887</v>
      </c>
      <c r="Q412" t="s">
        <v>830</v>
      </c>
      <c r="T412" t="s">
        <v>830</v>
      </c>
      <c r="U412" t="s">
        <v>830</v>
      </c>
      <c r="W412" t="s">
        <v>2499</v>
      </c>
      <c r="X412" t="s">
        <v>2496</v>
      </c>
      <c r="Y412" t="s">
        <v>830</v>
      </c>
      <c r="Z412">
        <v>0</v>
      </c>
      <c r="AA412">
        <v>720</v>
      </c>
      <c r="AB412">
        <v>30.425999999999998</v>
      </c>
      <c r="AC412" t="str">
        <f t="shared" si="33"/>
        <v>UCLLIB</v>
      </c>
      <c r="AD412" t="s">
        <v>3307</v>
      </c>
      <c r="AE412" t="str">
        <f t="shared" si="35"/>
        <v>TetrazolPyrimidine</v>
      </c>
      <c r="AF412" t="s">
        <v>3249</v>
      </c>
      <c r="AG412" s="15" t="s">
        <v>2889</v>
      </c>
      <c r="AH412" t="s">
        <v>2923</v>
      </c>
      <c r="AI412" t="str">
        <f t="shared" si="36"/>
        <v>CSD,version,6.01,with,Feb,2026,update</v>
      </c>
      <c r="AJ412" t="str">
        <f t="shared" si="37"/>
        <v>C7,H4,N14</v>
      </c>
      <c r="AK412" s="4" t="s">
        <v>3127</v>
      </c>
      <c r="AL412">
        <v>1</v>
      </c>
      <c r="AM412">
        <v>3</v>
      </c>
      <c r="AN412" t="str">
        <f>IF(AM412&lt;&gt;"",CONCATENATE(AC412," &amp; \ce{",SUBSTITUTE(AJ412,","," "),"} &amp; ",SUBSTITUTE(AF412,"."," ")," &amp; ",AL412," &amp; ",AM412," \\"),"")</f>
        <v>UCLLIB &amp; \ce{C7 H4 N14} &amp; Tetrazol Pyrimidine &amp; 1 &amp; 3 \\</v>
      </c>
    </row>
    <row r="413" spans="1:40" ht="15" x14ac:dyDescent="0.25">
      <c r="A413" t="s">
        <v>671</v>
      </c>
      <c r="B413" s="17" t="s">
        <v>3045</v>
      </c>
      <c r="C413">
        <v>11</v>
      </c>
      <c r="D413" t="s">
        <v>672</v>
      </c>
      <c r="E413" t="s">
        <v>673</v>
      </c>
      <c r="F413" t="s">
        <v>8</v>
      </c>
      <c r="G413" t="s">
        <v>2480</v>
      </c>
      <c r="H413" t="s">
        <v>830</v>
      </c>
      <c r="I413" t="s">
        <v>2385</v>
      </c>
      <c r="J413" t="s">
        <v>1462</v>
      </c>
      <c r="K413" t="s">
        <v>842</v>
      </c>
      <c r="L413" t="s">
        <v>2156</v>
      </c>
      <c r="M413" t="s">
        <v>876</v>
      </c>
      <c r="N413">
        <v>2016</v>
      </c>
      <c r="O413" t="s">
        <v>830</v>
      </c>
      <c r="P413" t="s">
        <v>887</v>
      </c>
      <c r="Q413" t="s">
        <v>830</v>
      </c>
      <c r="T413" t="s">
        <v>830</v>
      </c>
      <c r="U413" t="s">
        <v>830</v>
      </c>
      <c r="W413" t="s">
        <v>2499</v>
      </c>
      <c r="X413" t="s">
        <v>2497</v>
      </c>
      <c r="Y413" t="s">
        <v>830</v>
      </c>
      <c r="Z413">
        <v>0</v>
      </c>
      <c r="AA413">
        <v>700</v>
      </c>
      <c r="AB413">
        <v>32.371000000000002</v>
      </c>
      <c r="AC413" t="str">
        <f t="shared" si="33"/>
        <v/>
      </c>
      <c r="AE413" t="str">
        <f t="shared" si="35"/>
        <v/>
      </c>
      <c r="AI413" t="str">
        <f t="shared" si="36"/>
        <v/>
      </c>
      <c r="AJ413" t="str">
        <f t="shared" si="37"/>
        <v/>
      </c>
      <c r="AN413" t="str">
        <f>IF(AM413&lt;&gt;"",CONCATENATE(AC413," &amp; ",SUBSTITUTE(AJ413,","," ")," &amp; ",SUBSTITUTE(AF413,"."," ")," &amp; ",AL413," &amp; ",AM413," \\"),"")</f>
        <v/>
      </c>
    </row>
    <row r="414" spans="1:40" ht="15" x14ac:dyDescent="0.25">
      <c r="A414" t="s">
        <v>671</v>
      </c>
      <c r="B414" s="17" t="s">
        <v>3045</v>
      </c>
      <c r="C414">
        <v>30</v>
      </c>
      <c r="D414" t="s">
        <v>672</v>
      </c>
      <c r="E414" t="s">
        <v>673</v>
      </c>
      <c r="F414" t="s">
        <v>8</v>
      </c>
      <c r="G414" t="s">
        <v>2480</v>
      </c>
      <c r="H414" t="s">
        <v>830</v>
      </c>
      <c r="I414" t="s">
        <v>2385</v>
      </c>
      <c r="J414" t="s">
        <v>1463</v>
      </c>
      <c r="K414" t="s">
        <v>842</v>
      </c>
      <c r="L414" t="s">
        <v>1484</v>
      </c>
      <c r="M414" t="s">
        <v>876</v>
      </c>
      <c r="N414">
        <v>2016</v>
      </c>
      <c r="O414" t="s">
        <v>830</v>
      </c>
      <c r="P414" t="s">
        <v>2491</v>
      </c>
      <c r="Q414" t="s">
        <v>830</v>
      </c>
      <c r="T414" t="s">
        <v>830</v>
      </c>
      <c r="U414" t="s">
        <v>830</v>
      </c>
      <c r="W414" t="s">
        <v>2499</v>
      </c>
      <c r="X414" t="s">
        <v>2498</v>
      </c>
      <c r="Y414" t="s">
        <v>830</v>
      </c>
      <c r="Z414">
        <v>0</v>
      </c>
      <c r="AA414">
        <v>716</v>
      </c>
      <c r="AB414">
        <v>37.012999999999998</v>
      </c>
      <c r="AC414" t="str">
        <f t="shared" si="33"/>
        <v/>
      </c>
      <c r="AE414" t="str">
        <f t="shared" si="35"/>
        <v/>
      </c>
      <c r="AI414" t="str">
        <f t="shared" si="36"/>
        <v/>
      </c>
      <c r="AJ414" t="str">
        <f t="shared" si="37"/>
        <v/>
      </c>
      <c r="AN414" t="str">
        <f>IF(AM414&lt;&gt;"",CONCATENATE(AC414," &amp; ",SUBSTITUTE(AJ414,","," ")," &amp; ",SUBSTITUTE(AF414,"."," ")," &amp; ",AL414," &amp; ",AM414," \\"),"")</f>
        <v/>
      </c>
    </row>
    <row r="415" spans="1:40" x14ac:dyDescent="0.2">
      <c r="A415" t="s">
        <v>674</v>
      </c>
      <c r="B415" t="s">
        <v>675</v>
      </c>
      <c r="C415">
        <v>0</v>
      </c>
      <c r="D415" t="s">
        <v>676</v>
      </c>
      <c r="E415" t="s">
        <v>677</v>
      </c>
      <c r="F415" t="s">
        <v>8</v>
      </c>
      <c r="G415" t="s">
        <v>8</v>
      </c>
      <c r="H415" t="s">
        <v>830</v>
      </c>
      <c r="I415" t="s">
        <v>2385</v>
      </c>
      <c r="J415" t="s">
        <v>1185</v>
      </c>
      <c r="K415" t="s">
        <v>839</v>
      </c>
      <c r="L415" t="s">
        <v>1553</v>
      </c>
      <c r="M415" t="s">
        <v>876</v>
      </c>
      <c r="N415" t="s">
        <v>1876</v>
      </c>
      <c r="O415" t="s">
        <v>830</v>
      </c>
      <c r="P415" t="s">
        <v>2818</v>
      </c>
      <c r="Q415" t="s">
        <v>830</v>
      </c>
      <c r="T415" t="s">
        <v>830</v>
      </c>
      <c r="U415" t="s">
        <v>830</v>
      </c>
      <c r="W415" t="s">
        <v>2861</v>
      </c>
      <c r="X415" t="s">
        <v>2819</v>
      </c>
      <c r="Y415" t="s">
        <v>830</v>
      </c>
      <c r="Z415">
        <v>0</v>
      </c>
      <c r="AA415">
        <v>343</v>
      </c>
      <c r="AB415">
        <v>10</v>
      </c>
      <c r="AC415" t="str">
        <f t="shared" si="33"/>
        <v>UCLLPA</v>
      </c>
      <c r="AD415" t="s">
        <v>3308</v>
      </c>
      <c r="AE415" t="str">
        <f t="shared" si="35"/>
        <v>DihydroDibenzoCycloheptenylEthanone</v>
      </c>
      <c r="AF415" t="s">
        <v>3250</v>
      </c>
      <c r="AG415" s="15" t="s">
        <v>2887</v>
      </c>
      <c r="AH415" t="s">
        <v>2884</v>
      </c>
      <c r="AI415" t="str">
        <f t="shared" si="36"/>
        <v>CSD,version,6.01,with,Feb,2026,update</v>
      </c>
      <c r="AJ415" t="str">
        <f t="shared" si="37"/>
        <v>C17,H16,O1</v>
      </c>
      <c r="AK415" s="4" t="s">
        <v>3419</v>
      </c>
      <c r="AL415">
        <v>1</v>
      </c>
      <c r="AM415">
        <v>1</v>
      </c>
      <c r="AN415" t="str">
        <f>IF(AM415&lt;&gt;"",CONCATENATE(AC415," &amp; \ce{",SUBSTITUTE(AJ415,","," "),"} &amp; ",SUBSTITUTE(AF415,"."," ")," &amp; ",AL415," &amp; ",AM415," \\"),"")</f>
        <v>UCLLPA &amp; \ce{C17 H16 O1} &amp; Dihydro Dibenzo Cycloheptenyl Ethanone &amp; 1 &amp; 1 \\</v>
      </c>
    </row>
    <row r="416" spans="1:40" x14ac:dyDescent="0.2">
      <c r="A416" t="s">
        <v>678</v>
      </c>
      <c r="B416" t="s">
        <v>679</v>
      </c>
      <c r="C416">
        <v>0</v>
      </c>
      <c r="D416" t="s">
        <v>680</v>
      </c>
      <c r="E416" t="s">
        <v>681</v>
      </c>
      <c r="F416" t="s">
        <v>8</v>
      </c>
      <c r="G416" t="s">
        <v>8</v>
      </c>
      <c r="H416" t="s">
        <v>830</v>
      </c>
      <c r="I416" t="s">
        <v>2385</v>
      </c>
      <c r="J416" t="s">
        <v>1180</v>
      </c>
      <c r="K416" t="s">
        <v>839</v>
      </c>
      <c r="L416" t="s">
        <v>1553</v>
      </c>
      <c r="M416" t="s">
        <v>876</v>
      </c>
      <c r="N416" t="s">
        <v>1876</v>
      </c>
      <c r="O416" t="s">
        <v>830</v>
      </c>
      <c r="P416" t="s">
        <v>2817</v>
      </c>
      <c r="Q416" t="s">
        <v>830</v>
      </c>
      <c r="T416" t="s">
        <v>830</v>
      </c>
      <c r="U416" t="s">
        <v>830</v>
      </c>
      <c r="W416" t="s">
        <v>2861</v>
      </c>
      <c r="X416" t="s">
        <v>2820</v>
      </c>
      <c r="Y416" t="s">
        <v>830</v>
      </c>
      <c r="Z416">
        <v>0</v>
      </c>
      <c r="AA416">
        <v>52</v>
      </c>
      <c r="AB416">
        <v>10</v>
      </c>
      <c r="AC416" t="str">
        <f t="shared" si="33"/>
        <v>UCLLPB</v>
      </c>
      <c r="AD416" t="s">
        <v>3309</v>
      </c>
      <c r="AE416" t="str">
        <f t="shared" si="35"/>
        <v>DibenzoCycloheptenylEthanone</v>
      </c>
      <c r="AF416" t="s">
        <v>3251</v>
      </c>
      <c r="AG416" s="15" t="s">
        <v>2887</v>
      </c>
      <c r="AH416" t="s">
        <v>2884</v>
      </c>
      <c r="AI416" t="str">
        <f t="shared" si="36"/>
        <v>CSD,version,6.01,with,Feb,2026,update</v>
      </c>
      <c r="AJ416" t="str">
        <f t="shared" si="37"/>
        <v>C17,H14,O1</v>
      </c>
      <c r="AK416" s="4" t="s">
        <v>3419</v>
      </c>
      <c r="AL416">
        <v>1</v>
      </c>
      <c r="AM416">
        <v>1</v>
      </c>
      <c r="AN416" t="str">
        <f>IF(AM416&lt;&gt;"",CONCATENATE(AC416," &amp; \ce{",SUBSTITUTE(AJ416,","," "),"} &amp; ",SUBSTITUTE(AF416,"."," ")," &amp; ",AL416," &amp; ",AM416," \\"),"")</f>
        <v>UCLLPB &amp; \ce{C17 H14 O1} &amp; Dibenzo Cycloheptenyl Ethanone &amp; 1 &amp; 1 \\</v>
      </c>
    </row>
    <row r="417" spans="1:40" ht="15" x14ac:dyDescent="0.25">
      <c r="A417" t="s">
        <v>682</v>
      </c>
      <c r="B417" s="17" t="s">
        <v>3026</v>
      </c>
      <c r="C417">
        <v>20</v>
      </c>
      <c r="D417" t="s">
        <v>683</v>
      </c>
      <c r="E417" t="s">
        <v>2736</v>
      </c>
      <c r="F417" t="s">
        <v>8</v>
      </c>
      <c r="G417" t="s">
        <v>2729</v>
      </c>
      <c r="H417" t="s">
        <v>830</v>
      </c>
      <c r="I417" t="s">
        <v>2385</v>
      </c>
      <c r="J417" t="s">
        <v>1156</v>
      </c>
      <c r="K417" t="s">
        <v>851</v>
      </c>
      <c r="L417" t="s">
        <v>2738</v>
      </c>
      <c r="M417" t="s">
        <v>2595</v>
      </c>
      <c r="N417">
        <v>2010</v>
      </c>
      <c r="O417" t="s">
        <v>830</v>
      </c>
      <c r="P417" s="4" t="s">
        <v>2733</v>
      </c>
      <c r="Q417" t="s">
        <v>830</v>
      </c>
      <c r="T417" t="s">
        <v>830</v>
      </c>
      <c r="U417" t="s">
        <v>830</v>
      </c>
      <c r="W417" t="s">
        <v>2692</v>
      </c>
      <c r="X417" t="s">
        <v>2743</v>
      </c>
      <c r="Y417" t="s">
        <v>830</v>
      </c>
      <c r="Z417">
        <v>0</v>
      </c>
      <c r="AA417">
        <v>149</v>
      </c>
      <c r="AB417">
        <v>16.46</v>
      </c>
      <c r="AC417" t="str">
        <f t="shared" si="33"/>
        <v>UCLMHC</v>
      </c>
      <c r="AD417" t="s">
        <v>3088</v>
      </c>
      <c r="AE417" t="str">
        <f t="shared" si="35"/>
        <v>Caffeine4HBA</v>
      </c>
      <c r="AF417" t="s">
        <v>3115</v>
      </c>
      <c r="AG417" s="15" t="s">
        <v>3132</v>
      </c>
      <c r="AH417" t="s">
        <v>2884</v>
      </c>
      <c r="AI417" t="str">
        <f t="shared" si="36"/>
        <v>CSD,version,6.01,with,Feb,2026,update</v>
      </c>
      <c r="AJ417" t="str">
        <f t="shared" si="37"/>
        <v>C8,H10,N4,O2,.,C7,H6,O3</v>
      </c>
      <c r="AK417" t="s">
        <v>3127</v>
      </c>
      <c r="AL417">
        <v>1</v>
      </c>
      <c r="AM417">
        <v>1</v>
      </c>
      <c r="AN417" t="str">
        <f>IF(AM417&lt;&gt;"",CONCATENATE(AC417," &amp; \ce{",SUBSTITUTE(AJ417,","," "),"} &amp; ",SUBSTITUTE(AF417,"."," ")," &amp; ",AL417," &amp; ",AM417," \\"),"")</f>
        <v>UCLMHC &amp; \ce{C8 H10 N4 O2 . C7 H6 O3} &amp; Caffeine 4-Hydroxybenzoic Acid cocrystal &amp; 1 &amp; 1 \\</v>
      </c>
    </row>
    <row r="418" spans="1:40" ht="15" x14ac:dyDescent="0.25">
      <c r="A418" t="s">
        <v>688</v>
      </c>
      <c r="B418" s="17" t="s">
        <v>3433</v>
      </c>
      <c r="C418">
        <v>10</v>
      </c>
      <c r="D418" t="s">
        <v>689</v>
      </c>
      <c r="E418" t="s">
        <v>690</v>
      </c>
      <c r="F418" t="s">
        <v>8</v>
      </c>
      <c r="G418" t="s">
        <v>8</v>
      </c>
      <c r="H418" t="s">
        <v>830</v>
      </c>
      <c r="I418" t="s">
        <v>2385</v>
      </c>
      <c r="J418" t="s">
        <v>1452</v>
      </c>
      <c r="K418" t="s">
        <v>852</v>
      </c>
      <c r="L418" t="s">
        <v>1667</v>
      </c>
      <c r="M418" t="s">
        <v>2446</v>
      </c>
      <c r="N418">
        <v>2012</v>
      </c>
      <c r="O418" t="s">
        <v>830</v>
      </c>
      <c r="P418" t="s">
        <v>2466</v>
      </c>
      <c r="Q418" t="s">
        <v>830</v>
      </c>
      <c r="T418" t="s">
        <v>830</v>
      </c>
      <c r="U418" t="s">
        <v>830</v>
      </c>
      <c r="W418" t="s">
        <v>2479</v>
      </c>
      <c r="X418" t="s">
        <v>2472</v>
      </c>
      <c r="Y418" t="s">
        <v>830</v>
      </c>
      <c r="Z418">
        <v>0</v>
      </c>
      <c r="AA418">
        <v>10</v>
      </c>
      <c r="AB418">
        <v>11.868</v>
      </c>
      <c r="AC418" t="str">
        <f t="shared" si="33"/>
        <v>UCLNIB</v>
      </c>
      <c r="AD418" t="s">
        <v>3089</v>
      </c>
      <c r="AE418" t="str">
        <f t="shared" si="35"/>
        <v>Dicyanobenzene-Succinic</v>
      </c>
      <c r="AF418" t="s">
        <v>3119</v>
      </c>
      <c r="AG418" s="15" t="s">
        <v>2889</v>
      </c>
      <c r="AH418" t="s">
        <v>2888</v>
      </c>
      <c r="AI418" t="str">
        <f t="shared" si="36"/>
        <v>CSD,version,6.01,with,Feb,2026,update</v>
      </c>
      <c r="AJ418" t="str">
        <f t="shared" si="37"/>
        <v>C8,H4,N2,.,C4,H6,O4</v>
      </c>
      <c r="AK418" t="s">
        <v>3127</v>
      </c>
      <c r="AL418">
        <v>1</v>
      </c>
      <c r="AM418">
        <v>2</v>
      </c>
      <c r="AN418" t="str">
        <f>IF(AM418&lt;&gt;"",CONCATENATE(AC418," &amp; \ce{",SUBSTITUTE(AJ418,","," "),"} &amp; ",SUBSTITUTE(AF418,"."," ")," &amp; ",AL418," &amp; ",AM418," \\"),"")</f>
        <v>UCLNIB &amp; \ce{C8 H4 N2 . C4 H6 O4} &amp; Dicyanobenzene Succinic Acid cocrystal &amp; 1 &amp; 2 \\</v>
      </c>
    </row>
    <row r="419" spans="1:40" ht="15" x14ac:dyDescent="0.25">
      <c r="A419" t="s">
        <v>688</v>
      </c>
      <c r="B419" s="17" t="s">
        <v>3433</v>
      </c>
      <c r="C419">
        <v>20</v>
      </c>
      <c r="D419" t="s">
        <v>689</v>
      </c>
      <c r="E419" t="s">
        <v>690</v>
      </c>
      <c r="F419" t="s">
        <v>8</v>
      </c>
      <c r="G419" t="s">
        <v>8</v>
      </c>
      <c r="H419" t="s">
        <v>830</v>
      </c>
      <c r="I419" t="s">
        <v>2385</v>
      </c>
      <c r="J419" t="s">
        <v>1451</v>
      </c>
      <c r="K419" t="s">
        <v>852</v>
      </c>
      <c r="L419" t="s">
        <v>2436</v>
      </c>
      <c r="M419" t="s">
        <v>891</v>
      </c>
      <c r="N419">
        <v>2012</v>
      </c>
      <c r="O419" t="s">
        <v>830</v>
      </c>
      <c r="P419" t="s">
        <v>891</v>
      </c>
      <c r="Q419" t="s">
        <v>830</v>
      </c>
      <c r="T419" t="s">
        <v>830</v>
      </c>
      <c r="U419" t="s">
        <v>830</v>
      </c>
      <c r="W419" t="s">
        <v>2479</v>
      </c>
      <c r="X419" t="s">
        <v>2473</v>
      </c>
      <c r="Y419" t="s">
        <v>830</v>
      </c>
      <c r="Z419">
        <v>0</v>
      </c>
      <c r="AA419">
        <v>6244</v>
      </c>
      <c r="AB419">
        <v>30</v>
      </c>
      <c r="AC419" t="str">
        <f t="shared" si="33"/>
        <v/>
      </c>
      <c r="AE419" t="str">
        <f t="shared" si="35"/>
        <v/>
      </c>
      <c r="AI419" t="str">
        <f t="shared" si="36"/>
        <v/>
      </c>
      <c r="AJ419" t="str">
        <f t="shared" si="37"/>
        <v/>
      </c>
      <c r="AN419" t="str">
        <f>IF(AM419&lt;&gt;"",CONCATENATE(AC419," &amp; ",SUBSTITUTE(AJ419,","," ")," &amp; ",SUBSTITUTE(AF419,"."," ")," &amp; ",AL419," &amp; ",AM419," \\"),"")</f>
        <v/>
      </c>
    </row>
    <row r="420" spans="1:40" ht="15" x14ac:dyDescent="0.25">
      <c r="A420" t="s">
        <v>691</v>
      </c>
      <c r="B420" s="17" t="s">
        <v>3437</v>
      </c>
      <c r="C420">
        <v>10</v>
      </c>
      <c r="D420" t="s">
        <v>692</v>
      </c>
      <c r="E420" t="s">
        <v>692</v>
      </c>
      <c r="F420" t="s">
        <v>8</v>
      </c>
      <c r="G420" t="s">
        <v>8</v>
      </c>
      <c r="H420" t="s">
        <v>830</v>
      </c>
      <c r="I420" t="s">
        <v>2385</v>
      </c>
      <c r="J420" t="s">
        <v>1128</v>
      </c>
      <c r="K420" t="s">
        <v>852</v>
      </c>
      <c r="L420" t="s">
        <v>2438</v>
      </c>
      <c r="M420" t="s">
        <v>1491</v>
      </c>
      <c r="N420">
        <v>2009</v>
      </c>
      <c r="O420" t="s">
        <v>830</v>
      </c>
      <c r="P420" t="s">
        <v>1491</v>
      </c>
      <c r="Q420" t="s">
        <v>830</v>
      </c>
      <c r="T420" t="s">
        <v>830</v>
      </c>
      <c r="U420" t="s">
        <v>830</v>
      </c>
      <c r="W420" t="s">
        <v>2479</v>
      </c>
      <c r="X420" t="s">
        <v>2460</v>
      </c>
      <c r="Y420" t="s">
        <v>830</v>
      </c>
      <c r="Z420">
        <v>0</v>
      </c>
      <c r="AA420">
        <v>256</v>
      </c>
      <c r="AB420">
        <v>25.175999999999998</v>
      </c>
      <c r="AC420" t="str">
        <f t="shared" si="33"/>
        <v>UCLPKA</v>
      </c>
      <c r="AD420" t="s">
        <v>3090</v>
      </c>
      <c r="AE420" t="str">
        <f t="shared" si="35"/>
        <v>Bipy-Aminobenzoic</v>
      </c>
      <c r="AF420" t="s">
        <v>3120</v>
      </c>
      <c r="AG420" s="15" t="s">
        <v>2889</v>
      </c>
      <c r="AH420" t="s">
        <v>2888</v>
      </c>
      <c r="AI420" t="str">
        <f t="shared" si="36"/>
        <v>CSD,version,6.01,with,Feb,2026,update</v>
      </c>
      <c r="AJ420" t="str">
        <f t="shared" si="37"/>
        <v>C10,H8,N2,.,C7,H7,N1,O2</v>
      </c>
      <c r="AK420" t="s">
        <v>3127</v>
      </c>
      <c r="AL420">
        <v>1</v>
      </c>
      <c r="AM420">
        <v>3</v>
      </c>
      <c r="AN420" t="str">
        <f>IF(AM420&lt;&gt;"",CONCATENATE(AC420," &amp; \ce{",SUBSTITUTE(AJ420,","," "),"} &amp; ",SUBSTITUTE(AF420,"."," ")," &amp; ",AL420," &amp; ",AM420," \\"),"")</f>
        <v>UCLPKA &amp; \ce{C10 H8 N2 . C7 H7 N1 O2} &amp; Bipyridine Aminobenzoic Acid cocrystal &amp; 1 &amp; 3 \\</v>
      </c>
    </row>
    <row r="421" spans="1:40" ht="15" x14ac:dyDescent="0.25">
      <c r="A421" t="s">
        <v>691</v>
      </c>
      <c r="B421" s="17" t="s">
        <v>3437</v>
      </c>
      <c r="C421">
        <v>11</v>
      </c>
      <c r="D421" t="s">
        <v>692</v>
      </c>
      <c r="E421" t="s">
        <v>692</v>
      </c>
      <c r="F421" t="s">
        <v>8</v>
      </c>
      <c r="G421" t="s">
        <v>8</v>
      </c>
      <c r="H421" t="s">
        <v>830</v>
      </c>
      <c r="I421" t="s">
        <v>2385</v>
      </c>
      <c r="J421" t="s">
        <v>1130</v>
      </c>
      <c r="K421" t="s">
        <v>852</v>
      </c>
      <c r="L421" t="s">
        <v>2434</v>
      </c>
      <c r="M421" t="s">
        <v>1491</v>
      </c>
      <c r="N421">
        <v>2009</v>
      </c>
      <c r="O421" t="s">
        <v>830</v>
      </c>
      <c r="P421" t="s">
        <v>1491</v>
      </c>
      <c r="Q421" t="s">
        <v>830</v>
      </c>
      <c r="T421" t="s">
        <v>830</v>
      </c>
      <c r="U421" t="s">
        <v>830</v>
      </c>
      <c r="W421" t="s">
        <v>2479</v>
      </c>
      <c r="X421" t="s">
        <v>2461</v>
      </c>
      <c r="Y421" t="s">
        <v>830</v>
      </c>
      <c r="Z421">
        <v>0</v>
      </c>
      <c r="AA421">
        <v>1634</v>
      </c>
      <c r="AB421">
        <v>47.85</v>
      </c>
      <c r="AC421" t="str">
        <f t="shared" si="33"/>
        <v/>
      </c>
      <c r="AE421" t="str">
        <f t="shared" si="35"/>
        <v/>
      </c>
      <c r="AI421" t="str">
        <f t="shared" si="36"/>
        <v/>
      </c>
      <c r="AJ421" t="str">
        <f t="shared" si="37"/>
        <v/>
      </c>
      <c r="AN421" t="str">
        <f>IF(AM421&lt;&gt;"",CONCATENATE(AC421," &amp; ",SUBSTITUTE(AJ421,","," ")," &amp; ",SUBSTITUTE(AF421,"."," ")," &amp; ",AL421," &amp; ",AM421," \\"),"")</f>
        <v/>
      </c>
    </row>
    <row r="422" spans="1:40" ht="15" x14ac:dyDescent="0.25">
      <c r="A422" t="s">
        <v>691</v>
      </c>
      <c r="B422" s="17" t="s">
        <v>3437</v>
      </c>
      <c r="C422">
        <v>12</v>
      </c>
      <c r="D422" t="s">
        <v>692</v>
      </c>
      <c r="E422" t="s">
        <v>692</v>
      </c>
      <c r="F422" t="s">
        <v>8</v>
      </c>
      <c r="G422" t="s">
        <v>8</v>
      </c>
      <c r="H422" t="s">
        <v>830</v>
      </c>
      <c r="I422" t="s">
        <v>2385</v>
      </c>
      <c r="J422" t="s">
        <v>1129</v>
      </c>
      <c r="K422" t="s">
        <v>852</v>
      </c>
      <c r="L422" t="s">
        <v>2430</v>
      </c>
      <c r="M422" t="s">
        <v>2444</v>
      </c>
      <c r="N422">
        <v>2009</v>
      </c>
      <c r="O422" t="s">
        <v>830</v>
      </c>
      <c r="P422" t="s">
        <v>2459</v>
      </c>
      <c r="Q422" t="s">
        <v>830</v>
      </c>
      <c r="T422" t="s">
        <v>830</v>
      </c>
      <c r="U422" t="s">
        <v>830</v>
      </c>
      <c r="W422" t="s">
        <v>2479</v>
      </c>
      <c r="X422" t="s">
        <v>2462</v>
      </c>
      <c r="Y422" t="s">
        <v>830</v>
      </c>
      <c r="Z422">
        <v>0</v>
      </c>
      <c r="AA422">
        <v>25</v>
      </c>
      <c r="AB422">
        <v>7.7039999999999997</v>
      </c>
      <c r="AC422" t="str">
        <f t="shared" si="33"/>
        <v/>
      </c>
      <c r="AE422" t="str">
        <f t="shared" si="35"/>
        <v/>
      </c>
      <c r="AI422" t="str">
        <f t="shared" si="36"/>
        <v/>
      </c>
      <c r="AJ422" t="str">
        <f t="shared" si="37"/>
        <v/>
      </c>
      <c r="AN422" t="str">
        <f>IF(AM422&lt;&gt;"",CONCATENATE(AC422," &amp; ",SUBSTITUTE(AJ422,","," ")," &amp; ",SUBSTITUTE(AF422,"."," ")," &amp; ",AL422," &amp; ",AM422," \\"),"")</f>
        <v/>
      </c>
    </row>
    <row r="423" spans="1:40" x14ac:dyDescent="0.2">
      <c r="A423" t="s">
        <v>693</v>
      </c>
      <c r="B423" t="s">
        <v>694</v>
      </c>
      <c r="C423">
        <v>0</v>
      </c>
      <c r="D423" t="s">
        <v>695</v>
      </c>
      <c r="E423" t="s">
        <v>695</v>
      </c>
      <c r="F423" t="s">
        <v>8</v>
      </c>
      <c r="H423" t="s">
        <v>830</v>
      </c>
      <c r="I423" t="s">
        <v>2385</v>
      </c>
      <c r="J423" t="s">
        <v>1235</v>
      </c>
      <c r="K423" t="s">
        <v>1668</v>
      </c>
      <c r="L423" t="s">
        <v>1553</v>
      </c>
      <c r="M423" t="s">
        <v>876</v>
      </c>
      <c r="N423" t="s">
        <v>1876</v>
      </c>
      <c r="O423" t="s">
        <v>830</v>
      </c>
      <c r="P423" t="s">
        <v>2821</v>
      </c>
      <c r="Q423" t="s">
        <v>830</v>
      </c>
      <c r="T423" t="s">
        <v>830</v>
      </c>
      <c r="U423" t="s">
        <v>830</v>
      </c>
      <c r="W423" t="s">
        <v>2861</v>
      </c>
      <c r="X423" t="s">
        <v>2824</v>
      </c>
      <c r="Y423" t="s">
        <v>830</v>
      </c>
      <c r="Z423">
        <v>0</v>
      </c>
      <c r="AA423">
        <v>1506</v>
      </c>
      <c r="AB423">
        <v>15</v>
      </c>
      <c r="AC423" t="str">
        <f t="shared" si="33"/>
        <v>UCLPKB</v>
      </c>
      <c r="AD423" t="s">
        <v>3297</v>
      </c>
      <c r="AE423" t="str">
        <f t="shared" si="35"/>
        <v>TetrahydroDimethylQuinoline</v>
      </c>
      <c r="AF423" t="s">
        <v>3298</v>
      </c>
      <c r="AG423" s="15" t="s">
        <v>2887</v>
      </c>
      <c r="AH423" t="s">
        <v>2884</v>
      </c>
      <c r="AI423" t="str">
        <f t="shared" si="36"/>
        <v>CSD,version,6.01,with,Feb,2026,update</v>
      </c>
      <c r="AJ423" t="str">
        <f t="shared" si="37"/>
        <v>C11,H15,N1</v>
      </c>
      <c r="AK423" s="4" t="s">
        <v>3127</v>
      </c>
      <c r="AL423">
        <v>1</v>
      </c>
      <c r="AM423">
        <v>1</v>
      </c>
      <c r="AN423" t="str">
        <f t="shared" ref="AN423:AN430" si="39">IF(AM423&lt;&gt;"",CONCATENATE(AC423," &amp; \ce{",SUBSTITUTE(AJ423,","," "),"} &amp; ",SUBSTITUTE(AF423,"."," ")," &amp; ",AL423," &amp; ",AM423," \\"),"")</f>
        <v>UCLPKB &amp; \ce{C11 H15 N1} &amp; Tetrahydro Dimethyl Quinoline &amp; 1 &amp; 1 \\</v>
      </c>
    </row>
    <row r="424" spans="1:40" x14ac:dyDescent="0.2">
      <c r="A424" t="s">
        <v>696</v>
      </c>
      <c r="B424" t="s">
        <v>697</v>
      </c>
      <c r="C424">
        <v>0</v>
      </c>
      <c r="D424" t="s">
        <v>698</v>
      </c>
      <c r="E424" t="s">
        <v>698</v>
      </c>
      <c r="F424" t="s">
        <v>8</v>
      </c>
      <c r="G424" t="s">
        <v>8</v>
      </c>
      <c r="H424" t="s">
        <v>830</v>
      </c>
      <c r="I424" t="s">
        <v>2385</v>
      </c>
      <c r="J424" t="s">
        <v>1212</v>
      </c>
      <c r="K424" t="s">
        <v>1668</v>
      </c>
      <c r="L424" t="s">
        <v>1553</v>
      </c>
      <c r="M424" t="s">
        <v>876</v>
      </c>
      <c r="N424" t="s">
        <v>1876</v>
      </c>
      <c r="O424" t="s">
        <v>830</v>
      </c>
      <c r="P424" t="s">
        <v>2822</v>
      </c>
      <c r="Q424" t="s">
        <v>830</v>
      </c>
      <c r="T424" t="s">
        <v>830</v>
      </c>
      <c r="U424" t="s">
        <v>830</v>
      </c>
      <c r="W424" t="s">
        <v>2861</v>
      </c>
      <c r="X424" t="s">
        <v>2823</v>
      </c>
      <c r="Y424" s="14" t="s">
        <v>2860</v>
      </c>
      <c r="Z424">
        <v>0</v>
      </c>
      <c r="AA424">
        <v>1572</v>
      </c>
      <c r="AB424">
        <v>20.364999999999998</v>
      </c>
      <c r="AC424" t="str">
        <f t="shared" si="33"/>
        <v>UCLPKC</v>
      </c>
      <c r="AD424" t="s">
        <v>3310</v>
      </c>
      <c r="AE424" t="str">
        <f t="shared" si="35"/>
        <v>Methylazetidineone</v>
      </c>
      <c r="AF424" t="str">
        <f>AE424</f>
        <v>Methylazetidineone</v>
      </c>
      <c r="AG424" s="15" t="s">
        <v>2887</v>
      </c>
      <c r="AH424" t="s">
        <v>2884</v>
      </c>
      <c r="AI424" t="str">
        <f t="shared" si="36"/>
        <v>CSD,version,6.01,with,Feb,2026,update</v>
      </c>
      <c r="AJ424" t="str">
        <f t="shared" si="37"/>
        <v>C4,H7,N1,O1</v>
      </c>
      <c r="AK424" s="4" t="s">
        <v>3127</v>
      </c>
      <c r="AL424">
        <v>1</v>
      </c>
      <c r="AM424">
        <v>1</v>
      </c>
      <c r="AN424" t="str">
        <f t="shared" si="39"/>
        <v>UCLPKC &amp; \ce{C4 H7 N1 O1} &amp; Methylazetidineone &amp; 1 &amp; 1 \\</v>
      </c>
    </row>
    <row r="425" spans="1:40" x14ac:dyDescent="0.2">
      <c r="A425" t="s">
        <v>699</v>
      </c>
      <c r="B425" t="s">
        <v>117</v>
      </c>
      <c r="C425">
        <v>0</v>
      </c>
      <c r="D425" t="s">
        <v>700</v>
      </c>
      <c r="E425" t="s">
        <v>701</v>
      </c>
      <c r="F425" t="s">
        <v>702</v>
      </c>
      <c r="G425" t="s">
        <v>8</v>
      </c>
      <c r="H425" t="s">
        <v>830</v>
      </c>
      <c r="I425" t="s">
        <v>2385</v>
      </c>
      <c r="J425" t="s">
        <v>1091</v>
      </c>
      <c r="K425" t="s">
        <v>846</v>
      </c>
      <c r="L425" t="s">
        <v>1553</v>
      </c>
      <c r="M425" t="s">
        <v>2510</v>
      </c>
      <c r="N425" t="s">
        <v>1567</v>
      </c>
      <c r="O425" t="s">
        <v>830</v>
      </c>
      <c r="P425" s="4" t="s">
        <v>1751</v>
      </c>
      <c r="Q425" t="s">
        <v>830</v>
      </c>
      <c r="T425" t="s">
        <v>830</v>
      </c>
      <c r="U425" t="s">
        <v>830</v>
      </c>
      <c r="W425" t="s">
        <v>2499</v>
      </c>
      <c r="X425" t="s">
        <v>2523</v>
      </c>
      <c r="Y425" t="s">
        <v>830</v>
      </c>
      <c r="Z425">
        <v>0</v>
      </c>
      <c r="AA425">
        <v>523</v>
      </c>
      <c r="AB425">
        <v>40.450000000000003</v>
      </c>
      <c r="AC425" t="str">
        <f t="shared" si="33"/>
        <v>UCLSBA</v>
      </c>
      <c r="AD425" t="s">
        <v>3097</v>
      </c>
      <c r="AE425" t="str">
        <f t="shared" si="35"/>
        <v>26-dichloronitrobenzene</v>
      </c>
      <c r="AF425" t="s">
        <v>3454</v>
      </c>
      <c r="AG425" s="15" t="s">
        <v>2889</v>
      </c>
      <c r="AH425" t="s">
        <v>2884</v>
      </c>
      <c r="AI425" t="str">
        <f t="shared" si="36"/>
        <v>CSD,version,6.01,with,Feb,2026,update</v>
      </c>
      <c r="AJ425" t="str">
        <f t="shared" si="37"/>
        <v>C6,H3,N1,O2,Cl2</v>
      </c>
      <c r="AK425" t="s">
        <v>3125</v>
      </c>
      <c r="AL425">
        <v>1</v>
      </c>
      <c r="AM425">
        <v>1</v>
      </c>
      <c r="AN425" t="str">
        <f t="shared" si="39"/>
        <v>UCLSBA &amp; \ce{C6 H3 N1 O2 Cl2} &amp; 2,6-dichloronitrobenzene &amp; 1 &amp; 1 \\</v>
      </c>
    </row>
    <row r="426" spans="1:40" ht="15" x14ac:dyDescent="0.25">
      <c r="A426" t="s">
        <v>703</v>
      </c>
      <c r="B426" s="17" t="s">
        <v>3441</v>
      </c>
      <c r="C426">
        <v>20</v>
      </c>
      <c r="D426" t="s">
        <v>704</v>
      </c>
      <c r="E426" t="s">
        <v>705</v>
      </c>
      <c r="F426" t="s">
        <v>8</v>
      </c>
      <c r="G426" t="s">
        <v>8</v>
      </c>
      <c r="H426" t="s">
        <v>830</v>
      </c>
      <c r="I426" t="s">
        <v>2385</v>
      </c>
      <c r="J426" t="s">
        <v>1209</v>
      </c>
      <c r="K426" t="s">
        <v>853</v>
      </c>
      <c r="L426" t="s">
        <v>2233</v>
      </c>
      <c r="M426" t="s">
        <v>876</v>
      </c>
      <c r="N426" t="s">
        <v>1876</v>
      </c>
      <c r="O426" t="s">
        <v>830</v>
      </c>
      <c r="P426" t="s">
        <v>2825</v>
      </c>
      <c r="Q426" t="s">
        <v>830</v>
      </c>
      <c r="T426" t="s">
        <v>830</v>
      </c>
      <c r="U426" t="s">
        <v>830</v>
      </c>
      <c r="W426" t="s">
        <v>2861</v>
      </c>
      <c r="X426" t="s">
        <v>2826</v>
      </c>
      <c r="Y426" t="s">
        <v>830</v>
      </c>
      <c r="Z426">
        <v>0</v>
      </c>
      <c r="AA426">
        <v>1440</v>
      </c>
      <c r="AB426">
        <v>40</v>
      </c>
      <c r="AC426" t="str">
        <f t="shared" si="33"/>
        <v>UCLSMA</v>
      </c>
      <c r="AD426" t="s">
        <v>3295</v>
      </c>
      <c r="AE426" t="str">
        <f t="shared" si="35"/>
        <v>MemantineHydrochloride</v>
      </c>
      <c r="AF426" t="s">
        <v>3296</v>
      </c>
      <c r="AG426" s="15" t="s">
        <v>2887</v>
      </c>
      <c r="AH426" t="s">
        <v>2884</v>
      </c>
      <c r="AI426" t="str">
        <f t="shared" si="36"/>
        <v>CSD,version,6.01,with,Feb,2026,update</v>
      </c>
      <c r="AJ426" t="str">
        <f t="shared" si="37"/>
        <v>C12,H22,N1,+,.,Cl1,-</v>
      </c>
      <c r="AK426" s="4" t="s">
        <v>3127</v>
      </c>
      <c r="AL426">
        <v>1</v>
      </c>
      <c r="AM426">
        <v>1</v>
      </c>
      <c r="AN426" t="str">
        <f t="shared" si="39"/>
        <v>UCLSMA &amp; \ce{C12 H22 N1 + . Cl1 -} &amp; Memantine Hydrochloride &amp; 1 &amp; 1 \\</v>
      </c>
    </row>
    <row r="427" spans="1:40" ht="15" x14ac:dyDescent="0.25">
      <c r="A427" t="s">
        <v>706</v>
      </c>
      <c r="B427" s="17" t="s">
        <v>3046</v>
      </c>
      <c r="C427">
        <v>20</v>
      </c>
      <c r="D427" t="s">
        <v>707</v>
      </c>
      <c r="E427" t="s">
        <v>708</v>
      </c>
      <c r="F427" t="s">
        <v>8</v>
      </c>
      <c r="G427" t="s">
        <v>8</v>
      </c>
      <c r="H427" t="s">
        <v>830</v>
      </c>
      <c r="I427" t="s">
        <v>1952</v>
      </c>
      <c r="J427" t="s">
        <v>1432</v>
      </c>
      <c r="K427" t="s">
        <v>853</v>
      </c>
      <c r="L427" t="s">
        <v>2236</v>
      </c>
      <c r="M427" s="1" t="s">
        <v>2589</v>
      </c>
      <c r="N427">
        <v>2011</v>
      </c>
      <c r="O427" t="s">
        <v>830</v>
      </c>
      <c r="P427" t="s">
        <v>2590</v>
      </c>
      <c r="Q427" t="s">
        <v>830</v>
      </c>
      <c r="T427" t="s">
        <v>830</v>
      </c>
      <c r="U427" t="s">
        <v>830</v>
      </c>
      <c r="W427" t="s">
        <v>2250</v>
      </c>
      <c r="X427" t="s">
        <v>2237</v>
      </c>
      <c r="Y427" t="s">
        <v>830</v>
      </c>
      <c r="Z427">
        <v>0</v>
      </c>
      <c r="AA427">
        <v>943</v>
      </c>
      <c r="AB427">
        <v>20</v>
      </c>
      <c r="AC427" t="str">
        <f t="shared" si="33"/>
        <v>UCLSMB</v>
      </c>
      <c r="AD427" t="s">
        <v>3137</v>
      </c>
      <c r="AE427" t="str">
        <f t="shared" si="35"/>
        <v>4dimethylaminopyridinemaleicacid</v>
      </c>
      <c r="AF427" t="s">
        <v>3145</v>
      </c>
      <c r="AG427" s="15" t="s">
        <v>2925</v>
      </c>
      <c r="AH427" t="s">
        <v>2884</v>
      </c>
      <c r="AI427" t="str">
        <f t="shared" si="36"/>
        <v>CSD,version,6.01</v>
      </c>
      <c r="AJ427" t="str">
        <f t="shared" si="37"/>
        <v>C7,H10,N2,.,C4,H4,O4</v>
      </c>
      <c r="AK427" t="s">
        <v>3127</v>
      </c>
      <c r="AL427">
        <v>1</v>
      </c>
      <c r="AM427">
        <v>1</v>
      </c>
      <c r="AN427" t="str">
        <f t="shared" si="39"/>
        <v>UCLSMB &amp; \ce{C7 H10 N2 . C4 H4 O4} &amp; 4-Dimethyl Amino Pyridine Maleic Acid &amp; 1 &amp; 1 \\</v>
      </c>
    </row>
    <row r="428" spans="1:40" ht="15" x14ac:dyDescent="0.25">
      <c r="A428" t="s">
        <v>710</v>
      </c>
      <c r="B428" s="17" t="s">
        <v>3047</v>
      </c>
      <c r="C428">
        <v>20</v>
      </c>
      <c r="D428" t="s">
        <v>711</v>
      </c>
      <c r="E428" t="s">
        <v>711</v>
      </c>
      <c r="F428" t="s">
        <v>8</v>
      </c>
      <c r="G428" t="s">
        <v>8</v>
      </c>
      <c r="H428" t="s">
        <v>830</v>
      </c>
      <c r="I428" t="s">
        <v>1952</v>
      </c>
      <c r="J428" t="s">
        <v>1431</v>
      </c>
      <c r="K428" t="s">
        <v>853</v>
      </c>
      <c r="L428" t="s">
        <v>2233</v>
      </c>
      <c r="M428" s="1" t="s">
        <v>2589</v>
      </c>
      <c r="N428">
        <v>2011</v>
      </c>
      <c r="O428" t="s">
        <v>947</v>
      </c>
      <c r="P428" t="s">
        <v>2601</v>
      </c>
      <c r="Q428" t="s">
        <v>830</v>
      </c>
      <c r="T428" t="s">
        <v>830</v>
      </c>
      <c r="U428" t="s">
        <v>830</v>
      </c>
      <c r="W428" t="s">
        <v>2250</v>
      </c>
      <c r="X428" t="s">
        <v>2235</v>
      </c>
      <c r="Y428" t="s">
        <v>830</v>
      </c>
      <c r="Z428">
        <v>0</v>
      </c>
      <c r="AA428">
        <v>917</v>
      </c>
      <c r="AB428">
        <v>30</v>
      </c>
      <c r="AC428" t="str">
        <f t="shared" si="33"/>
        <v>UCLSME</v>
      </c>
      <c r="AD428" t="s">
        <v>3136</v>
      </c>
      <c r="AE428" t="str">
        <f t="shared" si="35"/>
        <v>4cyanopyridinium4fluorobenzoate</v>
      </c>
      <c r="AF428" t="s">
        <v>3146</v>
      </c>
      <c r="AG428" s="15" t="s">
        <v>2925</v>
      </c>
      <c r="AH428" t="s">
        <v>2884</v>
      </c>
      <c r="AI428" t="str">
        <f t="shared" si="36"/>
        <v>CSD,version,6.01</v>
      </c>
      <c r="AJ428" t="str">
        <f t="shared" si="37"/>
        <v>C7,H4,O2,F1,-,.,C6,H5,N2,+</v>
      </c>
      <c r="AK428" t="s">
        <v>3127</v>
      </c>
      <c r="AL428">
        <v>1</v>
      </c>
      <c r="AM428">
        <v>1</v>
      </c>
      <c r="AN428" t="str">
        <f t="shared" si="39"/>
        <v>UCLSME &amp; \ce{C7 H4 O2 F1 - . C6 H5 N2 +} &amp; 4-Cyano Pyridinium 4-Fluorobenzoate &amp; 1 &amp; 1 \\</v>
      </c>
    </row>
    <row r="429" spans="1:40" x14ac:dyDescent="0.2">
      <c r="A429" t="s">
        <v>715</v>
      </c>
      <c r="B429" t="s">
        <v>716</v>
      </c>
      <c r="C429">
        <v>0</v>
      </c>
      <c r="D429" t="s">
        <v>717</v>
      </c>
      <c r="E429" t="s">
        <v>718</v>
      </c>
      <c r="F429" t="s">
        <v>8</v>
      </c>
      <c r="G429" t="s">
        <v>8</v>
      </c>
      <c r="H429" t="s">
        <v>830</v>
      </c>
      <c r="I429" t="s">
        <v>1952</v>
      </c>
      <c r="J429" t="s">
        <v>1116</v>
      </c>
      <c r="K429" t="s">
        <v>838</v>
      </c>
      <c r="L429" t="s">
        <v>1553</v>
      </c>
      <c r="M429" s="2" t="s">
        <v>2060</v>
      </c>
      <c r="N429" t="s">
        <v>886</v>
      </c>
      <c r="O429" t="s">
        <v>830</v>
      </c>
      <c r="P429" t="s">
        <v>2055</v>
      </c>
      <c r="Q429" t="s">
        <v>830</v>
      </c>
      <c r="T429" t="s">
        <v>830</v>
      </c>
      <c r="U429" t="s">
        <v>830</v>
      </c>
      <c r="W429" t="s">
        <v>2034</v>
      </c>
      <c r="X429" t="s">
        <v>2072</v>
      </c>
      <c r="Y429" t="s">
        <v>830</v>
      </c>
      <c r="Z429">
        <v>0</v>
      </c>
      <c r="AA429">
        <v>470</v>
      </c>
      <c r="AB429">
        <v>15.17</v>
      </c>
      <c r="AC429" t="str">
        <f t="shared" si="33"/>
        <v>UCLVUR</v>
      </c>
      <c r="AD429" t="s">
        <v>3184</v>
      </c>
      <c r="AE429" t="str">
        <f t="shared" si="35"/>
        <v>5vinyluracil</v>
      </c>
      <c r="AF429" t="s">
        <v>3186</v>
      </c>
      <c r="AG429" s="15" t="s">
        <v>2894</v>
      </c>
      <c r="AH429" t="s">
        <v>2884</v>
      </c>
      <c r="AI429" t="str">
        <f t="shared" si="36"/>
        <v>CSD,version,6.01</v>
      </c>
      <c r="AJ429" t="str">
        <f t="shared" si="37"/>
        <v>C6,H6,N2,O2</v>
      </c>
      <c r="AK429" t="s">
        <v>3127</v>
      </c>
      <c r="AL429">
        <v>1</v>
      </c>
      <c r="AM429">
        <v>1</v>
      </c>
      <c r="AN429" t="str">
        <f t="shared" si="39"/>
        <v>UCLVUR &amp; \ce{C6 H6 N2 O2} &amp; 5-Vinyluracil &amp; 1 &amp; 1 \\</v>
      </c>
    </row>
    <row r="430" spans="1:40" x14ac:dyDescent="0.2">
      <c r="A430" t="s">
        <v>719</v>
      </c>
      <c r="B430" t="s">
        <v>720</v>
      </c>
      <c r="C430">
        <v>0</v>
      </c>
      <c r="D430" t="s">
        <v>721</v>
      </c>
      <c r="E430" t="s">
        <v>722</v>
      </c>
      <c r="F430" t="s">
        <v>8</v>
      </c>
      <c r="G430" s="4" t="s">
        <v>1629</v>
      </c>
      <c r="H430" t="s">
        <v>830</v>
      </c>
      <c r="I430" s="4" t="s">
        <v>1538</v>
      </c>
      <c r="J430" t="s">
        <v>1216</v>
      </c>
      <c r="K430" t="s">
        <v>839</v>
      </c>
      <c r="L430" t="s">
        <v>1553</v>
      </c>
      <c r="M430" t="s">
        <v>922</v>
      </c>
      <c r="N430">
        <v>2010</v>
      </c>
      <c r="O430" t="s">
        <v>830</v>
      </c>
      <c r="P430" t="s">
        <v>887</v>
      </c>
      <c r="Q430" t="s">
        <v>830</v>
      </c>
      <c r="T430" t="s">
        <v>830</v>
      </c>
      <c r="U430" t="s">
        <v>830</v>
      </c>
      <c r="W430" t="s">
        <v>1730</v>
      </c>
      <c r="X430" t="s">
        <v>1661</v>
      </c>
      <c r="Y430" t="s">
        <v>830</v>
      </c>
      <c r="Z430">
        <v>4</v>
      </c>
      <c r="AA430">
        <v>212</v>
      </c>
      <c r="AB430">
        <v>15.23</v>
      </c>
      <c r="AC430" t="str">
        <f t="shared" si="33"/>
        <v>UNOGIN</v>
      </c>
      <c r="AD430" t="s">
        <v>2907</v>
      </c>
      <c r="AE430" t="str">
        <f t="shared" si="35"/>
        <v>Olanzapine</v>
      </c>
      <c r="AF430" t="str">
        <f>AE430</f>
        <v>Olanzapine</v>
      </c>
      <c r="AG430" s="15" t="s">
        <v>2909</v>
      </c>
      <c r="AH430" t="s">
        <v>2908</v>
      </c>
      <c r="AI430" t="str">
        <f t="shared" si="36"/>
        <v>CSD,version,5.44,with,Jun,and,Sep,2023,updates</v>
      </c>
      <c r="AJ430" t="str">
        <f t="shared" si="37"/>
        <v>C17,H20,N4,S1</v>
      </c>
      <c r="AK430" t="s">
        <v>3417</v>
      </c>
      <c r="AL430">
        <v>2</v>
      </c>
      <c r="AM430">
        <v>5</v>
      </c>
      <c r="AN430" t="str">
        <f t="shared" si="39"/>
        <v>UNOGIN &amp; \ce{C17 H20 N4 S1} &amp; Olanzapine &amp; 2 &amp; 5 \\</v>
      </c>
    </row>
    <row r="431" spans="1:40" x14ac:dyDescent="0.2">
      <c r="A431" t="s">
        <v>719</v>
      </c>
      <c r="B431" t="s">
        <v>720</v>
      </c>
      <c r="C431">
        <v>10</v>
      </c>
      <c r="D431" t="s">
        <v>721</v>
      </c>
      <c r="E431" t="s">
        <v>722</v>
      </c>
      <c r="F431" t="s">
        <v>8</v>
      </c>
      <c r="G431" s="4" t="s">
        <v>1629</v>
      </c>
      <c r="H431" t="s">
        <v>830</v>
      </c>
      <c r="I431" s="4" t="s">
        <v>1538</v>
      </c>
      <c r="J431" t="s">
        <v>1217</v>
      </c>
      <c r="K431" t="s">
        <v>839</v>
      </c>
      <c r="L431" t="s">
        <v>1663</v>
      </c>
      <c r="M431" t="s">
        <v>922</v>
      </c>
      <c r="N431">
        <v>2010</v>
      </c>
      <c r="O431" t="s">
        <v>830</v>
      </c>
      <c r="P431" t="s">
        <v>887</v>
      </c>
      <c r="Q431" t="s">
        <v>830</v>
      </c>
      <c r="T431" t="s">
        <v>830</v>
      </c>
      <c r="U431" t="s">
        <v>830</v>
      </c>
      <c r="W431" t="s">
        <v>1730</v>
      </c>
      <c r="X431" t="s">
        <v>1662</v>
      </c>
      <c r="Y431" t="s">
        <v>830</v>
      </c>
      <c r="Z431">
        <v>4</v>
      </c>
      <c r="AA431">
        <v>20</v>
      </c>
      <c r="AB431">
        <v>22.219000000000001</v>
      </c>
      <c r="AC431" t="str">
        <f t="shared" si="33"/>
        <v/>
      </c>
      <c r="AE431" t="str">
        <f t="shared" si="35"/>
        <v/>
      </c>
      <c r="AI431" t="str">
        <f t="shared" si="36"/>
        <v/>
      </c>
      <c r="AJ431" t="str">
        <f t="shared" si="37"/>
        <v/>
      </c>
      <c r="AN431" t="str">
        <f>IF(AM431&lt;&gt;"",CONCATENATE(AC431," &amp; ",SUBSTITUTE(AJ431,","," ")," &amp; ",SUBSTITUTE(AF431,"."," ")," &amp; ",AL431," &amp; ",AM431," \\"),"")</f>
        <v/>
      </c>
    </row>
    <row r="432" spans="1:40" x14ac:dyDescent="0.2">
      <c r="A432" t="s">
        <v>719</v>
      </c>
      <c r="B432" t="s">
        <v>720</v>
      </c>
      <c r="C432">
        <v>11</v>
      </c>
      <c r="D432" t="s">
        <v>721</v>
      </c>
      <c r="E432" t="s">
        <v>722</v>
      </c>
      <c r="F432" t="s">
        <v>8</v>
      </c>
      <c r="G432" s="4" t="s">
        <v>1629</v>
      </c>
      <c r="H432" s="4" t="s">
        <v>830</v>
      </c>
      <c r="I432" s="4" t="s">
        <v>1538</v>
      </c>
      <c r="J432" s="4" t="s">
        <v>1417</v>
      </c>
      <c r="K432" t="s">
        <v>839</v>
      </c>
      <c r="L432" s="4" t="s">
        <v>1631</v>
      </c>
      <c r="M432" t="s">
        <v>887</v>
      </c>
      <c r="N432">
        <v>2013</v>
      </c>
      <c r="O432" t="s">
        <v>830</v>
      </c>
      <c r="P432" t="s">
        <v>887</v>
      </c>
      <c r="Q432" t="s">
        <v>830</v>
      </c>
      <c r="T432" t="s">
        <v>830</v>
      </c>
      <c r="U432" t="s">
        <v>830</v>
      </c>
      <c r="W432" t="s">
        <v>1676</v>
      </c>
      <c r="X432" t="s">
        <v>1658</v>
      </c>
      <c r="Y432" t="s">
        <v>830</v>
      </c>
      <c r="Z432">
        <v>4</v>
      </c>
      <c r="AA432">
        <v>1027</v>
      </c>
      <c r="AB432">
        <v>33.368000000000002</v>
      </c>
      <c r="AC432" t="str">
        <f t="shared" si="33"/>
        <v/>
      </c>
      <c r="AE432" t="str">
        <f t="shared" si="35"/>
        <v/>
      </c>
      <c r="AI432" t="str">
        <f t="shared" si="36"/>
        <v/>
      </c>
      <c r="AJ432" t="str">
        <f t="shared" si="37"/>
        <v/>
      </c>
      <c r="AN432" t="str">
        <f>IF(AM432&lt;&gt;"",CONCATENATE(AC432," &amp; ",SUBSTITUTE(AJ432,","," ")," &amp; ",SUBSTITUTE(AF432,"."," ")," &amp; ",AL432," &amp; ",AM432," \\"),"")</f>
        <v/>
      </c>
    </row>
    <row r="433" spans="1:40" x14ac:dyDescent="0.2">
      <c r="A433" t="s">
        <v>719</v>
      </c>
      <c r="B433" t="s">
        <v>720</v>
      </c>
      <c r="C433">
        <v>20</v>
      </c>
      <c r="D433" t="s">
        <v>721</v>
      </c>
      <c r="E433" t="s">
        <v>722</v>
      </c>
      <c r="F433" t="s">
        <v>8</v>
      </c>
      <c r="G433" s="4" t="s">
        <v>1629</v>
      </c>
      <c r="H433" s="4" t="s">
        <v>830</v>
      </c>
      <c r="I433" s="4" t="s">
        <v>1538</v>
      </c>
      <c r="J433" t="s">
        <v>1418</v>
      </c>
      <c r="K433" t="s">
        <v>839</v>
      </c>
      <c r="L433" s="4" t="s">
        <v>1630</v>
      </c>
      <c r="M433" t="s">
        <v>887</v>
      </c>
      <c r="N433">
        <v>2013</v>
      </c>
      <c r="O433" t="s">
        <v>830</v>
      </c>
      <c r="P433" t="s">
        <v>887</v>
      </c>
      <c r="Q433" t="s">
        <v>830</v>
      </c>
      <c r="T433" t="s">
        <v>830</v>
      </c>
      <c r="U433" t="s">
        <v>830</v>
      </c>
      <c r="V433" t="s">
        <v>830</v>
      </c>
      <c r="W433" t="s">
        <v>1676</v>
      </c>
      <c r="X433" t="s">
        <v>1659</v>
      </c>
      <c r="Y433" t="s">
        <v>830</v>
      </c>
      <c r="Z433">
        <v>4</v>
      </c>
      <c r="AA433">
        <v>1027</v>
      </c>
      <c r="AB433">
        <v>20.952000000000002</v>
      </c>
      <c r="AC433" t="str">
        <f t="shared" si="33"/>
        <v/>
      </c>
      <c r="AE433" t="str">
        <f t="shared" si="35"/>
        <v/>
      </c>
      <c r="AI433" t="str">
        <f t="shared" si="36"/>
        <v/>
      </c>
      <c r="AJ433" t="str">
        <f t="shared" si="37"/>
        <v/>
      </c>
      <c r="AN433" t="str">
        <f>IF(AM433&lt;&gt;"",CONCATENATE(AC433," &amp; ",SUBSTITUTE(AJ433,","," ")," &amp; ",SUBSTITUTE(AF433,"."," ")," &amp; ",AL433," &amp; ",AM433," \\"),"")</f>
        <v/>
      </c>
    </row>
    <row r="434" spans="1:40" x14ac:dyDescent="0.2">
      <c r="A434" t="s">
        <v>719</v>
      </c>
      <c r="B434" t="s">
        <v>720</v>
      </c>
      <c r="C434">
        <v>30</v>
      </c>
      <c r="D434" t="s">
        <v>721</v>
      </c>
      <c r="E434" t="s">
        <v>722</v>
      </c>
      <c r="F434" t="s">
        <v>8</v>
      </c>
      <c r="G434" s="4" t="s">
        <v>1629</v>
      </c>
      <c r="H434" s="4" t="s">
        <v>830</v>
      </c>
      <c r="I434" s="4" t="s">
        <v>1538</v>
      </c>
      <c r="J434" t="s">
        <v>1421</v>
      </c>
      <c r="K434" t="s">
        <v>839</v>
      </c>
      <c r="L434" t="s">
        <v>1632</v>
      </c>
      <c r="M434" s="2" t="s">
        <v>2602</v>
      </c>
      <c r="N434">
        <v>2013</v>
      </c>
      <c r="O434" t="s">
        <v>830</v>
      </c>
      <c r="P434" t="s">
        <v>1633</v>
      </c>
      <c r="Q434" t="s">
        <v>830</v>
      </c>
      <c r="T434" t="s">
        <v>830</v>
      </c>
      <c r="U434" t="s">
        <v>830</v>
      </c>
      <c r="W434" t="s">
        <v>1676</v>
      </c>
      <c r="X434" t="s">
        <v>1660</v>
      </c>
      <c r="Y434" t="s">
        <v>830</v>
      </c>
      <c r="Z434">
        <v>4</v>
      </c>
      <c r="AA434">
        <v>971</v>
      </c>
      <c r="AB434">
        <v>38.113999999999997</v>
      </c>
      <c r="AC434" t="str">
        <f t="shared" si="33"/>
        <v/>
      </c>
      <c r="AE434" t="str">
        <f t="shared" si="35"/>
        <v/>
      </c>
      <c r="AI434" t="str">
        <f t="shared" si="36"/>
        <v/>
      </c>
      <c r="AJ434" t="str">
        <f t="shared" si="37"/>
        <v/>
      </c>
      <c r="AN434" t="str">
        <f>IF(AM434&lt;&gt;"",CONCATENATE(AC434," &amp; ",SUBSTITUTE(AJ434,","," ")," &amp; ",SUBSTITUTE(AF434,"."," ")," &amp; ",AL434," &amp; ",AM434," \\"),"")</f>
        <v/>
      </c>
    </row>
    <row r="435" spans="1:40" x14ac:dyDescent="0.2">
      <c r="A435" s="8" t="s">
        <v>719</v>
      </c>
      <c r="B435" s="8" t="s">
        <v>720</v>
      </c>
      <c r="C435" s="8">
        <v>31</v>
      </c>
      <c r="D435" s="8" t="s">
        <v>721</v>
      </c>
      <c r="E435" s="8" t="s">
        <v>722</v>
      </c>
      <c r="F435" s="8" t="s">
        <v>8</v>
      </c>
      <c r="G435" s="8" t="s">
        <v>723</v>
      </c>
      <c r="H435" s="7" t="s">
        <v>2511</v>
      </c>
      <c r="I435" s="8"/>
      <c r="J435" s="8" t="s">
        <v>1422</v>
      </c>
      <c r="K435" s="8" t="s">
        <v>839</v>
      </c>
      <c r="L435" s="8"/>
      <c r="M435" s="8" t="s">
        <v>887</v>
      </c>
      <c r="N435" s="8">
        <v>2013</v>
      </c>
      <c r="O435" s="8"/>
      <c r="P435" s="8"/>
      <c r="Q435" s="8"/>
      <c r="R435" s="8"/>
      <c r="S435" s="8"/>
      <c r="T435" s="8" t="s">
        <v>1598</v>
      </c>
      <c r="U435" s="8"/>
      <c r="V435" s="8"/>
      <c r="W435" s="8" t="s">
        <v>1676</v>
      </c>
      <c r="X435" s="8" t="s">
        <v>1649</v>
      </c>
      <c r="Y435" s="8" t="s">
        <v>1598</v>
      </c>
      <c r="Z435" s="8"/>
      <c r="AA435" s="8">
        <v>1027</v>
      </c>
      <c r="AB435" s="8">
        <v>38.113999999999997</v>
      </c>
      <c r="AC435" t="str">
        <f t="shared" si="33"/>
        <v/>
      </c>
      <c r="AE435" t="str">
        <f t="shared" si="35"/>
        <v/>
      </c>
      <c r="AI435" t="str">
        <f t="shared" si="36"/>
        <v/>
      </c>
      <c r="AJ435" t="str">
        <f t="shared" si="37"/>
        <v/>
      </c>
      <c r="AN435" t="str">
        <f>IF(AM435&lt;&gt;"",CONCATENATE(AC435," &amp; ",SUBSTITUTE(AJ435,","," ")," &amp; ",SUBSTITUTE(AF435,"."," ")," &amp; ",AL435," &amp; ",AM435," \\"),"")</f>
        <v/>
      </c>
    </row>
    <row r="436" spans="1:40" x14ac:dyDescent="0.2">
      <c r="A436" t="s">
        <v>724</v>
      </c>
      <c r="B436" t="s">
        <v>725</v>
      </c>
      <c r="C436">
        <v>0</v>
      </c>
      <c r="D436" t="s">
        <v>726</v>
      </c>
      <c r="E436" t="s">
        <v>727</v>
      </c>
      <c r="F436" t="s">
        <v>8</v>
      </c>
      <c r="G436" t="s">
        <v>724</v>
      </c>
      <c r="H436" t="s">
        <v>830</v>
      </c>
      <c r="I436" t="s">
        <v>1952</v>
      </c>
      <c r="J436" t="s">
        <v>1239</v>
      </c>
      <c r="K436" t="s">
        <v>838</v>
      </c>
      <c r="L436" t="s">
        <v>1553</v>
      </c>
      <c r="M436" s="2" t="s">
        <v>2060</v>
      </c>
      <c r="N436" t="s">
        <v>886</v>
      </c>
      <c r="O436" t="s">
        <v>830</v>
      </c>
      <c r="P436" t="s">
        <v>2056</v>
      </c>
      <c r="Q436" t="s">
        <v>830</v>
      </c>
      <c r="T436" t="s">
        <v>830</v>
      </c>
      <c r="U436" t="s">
        <v>830</v>
      </c>
      <c r="W436" t="s">
        <v>2034</v>
      </c>
      <c r="X436" t="s">
        <v>2073</v>
      </c>
      <c r="Y436" t="s">
        <v>830</v>
      </c>
      <c r="Z436">
        <v>1</v>
      </c>
      <c r="AA436">
        <v>217</v>
      </c>
      <c r="AB436">
        <v>10</v>
      </c>
      <c r="AC436" t="str">
        <f t="shared" si="33"/>
        <v>URACIL</v>
      </c>
      <c r="AD436" t="s">
        <v>3185</v>
      </c>
      <c r="AE436" t="str">
        <f t="shared" si="35"/>
        <v>Uracil</v>
      </c>
      <c r="AF436" t="str">
        <f>AE436</f>
        <v>Uracil</v>
      </c>
      <c r="AG436" s="15" t="s">
        <v>2894</v>
      </c>
      <c r="AH436" t="s">
        <v>2884</v>
      </c>
      <c r="AI436" t="str">
        <f t="shared" si="36"/>
        <v>CSD,version,6.01</v>
      </c>
      <c r="AJ436" t="str">
        <f t="shared" si="37"/>
        <v>C4,H4,N2,O2</v>
      </c>
      <c r="AL436">
        <v>1</v>
      </c>
      <c r="AM436">
        <v>1</v>
      </c>
      <c r="AN436" t="str">
        <f>IF(AM436&lt;&gt;"",CONCATENATE(AC436," &amp; \ce{",SUBSTITUTE(AJ436,","," "),"} &amp; ",SUBSTITUTE(AF436,"."," ")," &amp; ",AL436," &amp; ",AM436," \\"),"")</f>
        <v>URACIL &amp; \ce{C4 H4 N2 O2} &amp; Uracil &amp; 1 &amp; 1 \\</v>
      </c>
    </row>
    <row r="437" spans="1:40" x14ac:dyDescent="0.2">
      <c r="A437" t="s">
        <v>728</v>
      </c>
      <c r="B437" t="s">
        <v>729</v>
      </c>
      <c r="C437">
        <v>10</v>
      </c>
      <c r="D437" t="s">
        <v>730</v>
      </c>
      <c r="E437" t="s">
        <v>730</v>
      </c>
      <c r="F437" t="s">
        <v>8</v>
      </c>
      <c r="G437" t="s">
        <v>2487</v>
      </c>
      <c r="H437" t="s">
        <v>830</v>
      </c>
      <c r="I437" t="s">
        <v>2385</v>
      </c>
      <c r="J437" t="s">
        <v>1469</v>
      </c>
      <c r="K437" t="s">
        <v>2488</v>
      </c>
      <c r="L437" t="s">
        <v>2486</v>
      </c>
      <c r="M437" t="s">
        <v>911</v>
      </c>
      <c r="N437">
        <v>2016</v>
      </c>
      <c r="O437" t="s">
        <v>830</v>
      </c>
      <c r="P437" t="s">
        <v>2489</v>
      </c>
      <c r="Q437" t="s">
        <v>830</v>
      </c>
      <c r="T437" t="s">
        <v>830</v>
      </c>
      <c r="U437" t="s">
        <v>830</v>
      </c>
      <c r="W437" t="s">
        <v>2499</v>
      </c>
      <c r="X437" t="s">
        <v>2483</v>
      </c>
      <c r="Y437" t="s">
        <v>830</v>
      </c>
      <c r="Z437">
        <v>1</v>
      </c>
      <c r="AA437">
        <v>793</v>
      </c>
      <c r="AB437">
        <v>31.507999999999999</v>
      </c>
      <c r="AC437" t="str">
        <f t="shared" si="33"/>
        <v>UREAXX</v>
      </c>
      <c r="AD437" t="s">
        <v>730</v>
      </c>
      <c r="AE437" t="str">
        <f t="shared" si="35"/>
        <v>Urea</v>
      </c>
      <c r="AF437" t="str">
        <f>AE437</f>
        <v>Urea</v>
      </c>
      <c r="AG437" s="15" t="s">
        <v>2889</v>
      </c>
      <c r="AH437" t="s">
        <v>2888</v>
      </c>
      <c r="AI437" t="str">
        <f t="shared" si="36"/>
        <v>CSD,version,6.01,with,Feb,2026,update</v>
      </c>
      <c r="AJ437" t="str">
        <f t="shared" si="37"/>
        <v>C1,H4,N2,O1</v>
      </c>
      <c r="AL437">
        <v>1</v>
      </c>
      <c r="AM437">
        <v>2</v>
      </c>
      <c r="AN437" t="str">
        <f>IF(AM437&lt;&gt;"",CONCATENATE(AC437," &amp; \ce{",SUBSTITUTE(AJ437,","," "),"} &amp; ",SUBSTITUTE(AF437,"."," ")," &amp; ",AL437," &amp; ",AM437," \\"),"")</f>
        <v>UREAXX &amp; \ce{C1 H4 N2 O1} &amp; Urea &amp; 1 &amp; 2 \\</v>
      </c>
    </row>
    <row r="438" spans="1:40" x14ac:dyDescent="0.2">
      <c r="A438" t="s">
        <v>728</v>
      </c>
      <c r="B438" t="s">
        <v>729</v>
      </c>
      <c r="C438">
        <v>20</v>
      </c>
      <c r="D438" t="s">
        <v>730</v>
      </c>
      <c r="E438" t="s">
        <v>730</v>
      </c>
      <c r="F438" t="s">
        <v>8</v>
      </c>
      <c r="G438" t="s">
        <v>2487</v>
      </c>
      <c r="H438" t="s">
        <v>830</v>
      </c>
      <c r="I438" t="s">
        <v>2385</v>
      </c>
      <c r="J438" t="s">
        <v>1468</v>
      </c>
      <c r="K438" t="s">
        <v>2488</v>
      </c>
      <c r="L438" t="s">
        <v>2485</v>
      </c>
      <c r="M438" t="s">
        <v>891</v>
      </c>
      <c r="N438">
        <v>2016</v>
      </c>
      <c r="O438" t="s">
        <v>830</v>
      </c>
      <c r="P438" t="s">
        <v>891</v>
      </c>
      <c r="Q438" t="s">
        <v>830</v>
      </c>
      <c r="T438" t="s">
        <v>830</v>
      </c>
      <c r="U438" t="s">
        <v>830</v>
      </c>
      <c r="W438" t="s">
        <v>2499</v>
      </c>
      <c r="X438" t="s">
        <v>2484</v>
      </c>
      <c r="Y438" t="s">
        <v>830</v>
      </c>
      <c r="Z438">
        <v>2</v>
      </c>
      <c r="AA438">
        <v>850</v>
      </c>
      <c r="AB438">
        <v>32.340000000000003</v>
      </c>
      <c r="AC438" t="str">
        <f t="shared" si="33"/>
        <v/>
      </c>
      <c r="AE438" t="str">
        <f t="shared" si="35"/>
        <v/>
      </c>
      <c r="AI438" t="str">
        <f t="shared" si="36"/>
        <v/>
      </c>
      <c r="AJ438" t="str">
        <f t="shared" si="37"/>
        <v/>
      </c>
      <c r="AN438" t="str">
        <f>IF(AM438&lt;&gt;"",CONCATENATE(AC438," &amp; ",SUBSTITUTE(AJ438,","," ")," &amp; ",SUBSTITUTE(AF438,"."," ")," &amp; ",AL438," &amp; ",AM438," \\"),"")</f>
        <v/>
      </c>
    </row>
    <row r="439" spans="1:40" x14ac:dyDescent="0.2">
      <c r="A439" t="s">
        <v>731</v>
      </c>
      <c r="B439" t="s">
        <v>732</v>
      </c>
      <c r="C439">
        <v>0</v>
      </c>
      <c r="D439" t="s">
        <v>733</v>
      </c>
      <c r="E439" t="s">
        <v>734</v>
      </c>
      <c r="F439" t="s">
        <v>735</v>
      </c>
      <c r="G439" t="s">
        <v>731</v>
      </c>
      <c r="H439" t="s">
        <v>830</v>
      </c>
      <c r="I439" t="s">
        <v>1952</v>
      </c>
      <c r="J439" t="s">
        <v>1241</v>
      </c>
      <c r="K439" t="s">
        <v>855</v>
      </c>
      <c r="L439" t="s">
        <v>962</v>
      </c>
      <c r="M439" s="2" t="s">
        <v>858</v>
      </c>
      <c r="N439">
        <v>2004</v>
      </c>
      <c r="O439" t="s">
        <v>830</v>
      </c>
      <c r="P439" t="s">
        <v>883</v>
      </c>
      <c r="Q439" t="s">
        <v>830</v>
      </c>
      <c r="R439" t="s">
        <v>964</v>
      </c>
      <c r="S439" t="s">
        <v>963</v>
      </c>
      <c r="T439" t="s">
        <v>830</v>
      </c>
      <c r="U439" t="s">
        <v>830</v>
      </c>
      <c r="W439" t="s">
        <v>2094</v>
      </c>
      <c r="X439" t="s">
        <v>2102</v>
      </c>
      <c r="Y439" t="s">
        <v>830</v>
      </c>
      <c r="Z439">
        <v>1</v>
      </c>
      <c r="AA439">
        <v>51</v>
      </c>
      <c r="AB439">
        <v>30.97</v>
      </c>
      <c r="AC439" t="str">
        <f t="shared" si="33"/>
        <v>URICAC</v>
      </c>
      <c r="AD439" t="s">
        <v>3311</v>
      </c>
      <c r="AE439" t="str">
        <f t="shared" si="35"/>
        <v>UricAcid</v>
      </c>
      <c r="AF439" t="s">
        <v>3294</v>
      </c>
      <c r="AG439" s="15" t="s">
        <v>2894</v>
      </c>
      <c r="AH439" t="s">
        <v>3066</v>
      </c>
      <c r="AI439" t="str">
        <f t="shared" si="36"/>
        <v>CSD,version,6.01</v>
      </c>
      <c r="AJ439" t="str">
        <f t="shared" si="37"/>
        <v>C5,H4,N4,O3</v>
      </c>
      <c r="AL439">
        <v>2</v>
      </c>
      <c r="AM439">
        <v>2</v>
      </c>
      <c r="AN439" t="str">
        <f>IF(AM439&lt;&gt;"",CONCATENATE(AC439," &amp; \ce{",SUBSTITUTE(AJ439,","," "),"} &amp; ",SUBSTITUTE(AF439,"."," ")," &amp; ",AL439," &amp; ",AM439," \\"),"")</f>
        <v>URICAC &amp; \ce{C5 H4 N4 O3} &amp; Uric Acid &amp; 2 &amp; 2 \\</v>
      </c>
    </row>
    <row r="440" spans="1:40" x14ac:dyDescent="0.2">
      <c r="A440" t="s">
        <v>731</v>
      </c>
      <c r="B440" t="s">
        <v>732</v>
      </c>
      <c r="C440">
        <v>1</v>
      </c>
      <c r="D440" t="s">
        <v>733</v>
      </c>
      <c r="E440" t="s">
        <v>734</v>
      </c>
      <c r="G440" t="s">
        <v>731</v>
      </c>
      <c r="H440" t="s">
        <v>830</v>
      </c>
      <c r="I440" t="s">
        <v>1952</v>
      </c>
      <c r="J440" t="s">
        <v>1038</v>
      </c>
      <c r="K440" t="s">
        <v>839</v>
      </c>
      <c r="L440" t="s">
        <v>1036</v>
      </c>
      <c r="M440" t="s">
        <v>1037</v>
      </c>
      <c r="N440">
        <v>2022</v>
      </c>
      <c r="O440" t="s">
        <v>830</v>
      </c>
      <c r="P440" t="s">
        <v>2101</v>
      </c>
      <c r="Q440" t="s">
        <v>830</v>
      </c>
      <c r="T440" t="s">
        <v>830</v>
      </c>
      <c r="U440" t="s">
        <v>830</v>
      </c>
      <c r="W440" t="s">
        <v>2094</v>
      </c>
      <c r="X440" t="s">
        <v>2103</v>
      </c>
      <c r="Y440" t="s">
        <v>830</v>
      </c>
      <c r="Z440">
        <v>1</v>
      </c>
      <c r="AA440">
        <v>351</v>
      </c>
      <c r="AB440">
        <v>30</v>
      </c>
      <c r="AC440" t="str">
        <f t="shared" si="33"/>
        <v/>
      </c>
      <c r="AE440" t="str">
        <f t="shared" si="35"/>
        <v/>
      </c>
      <c r="AI440" t="str">
        <f t="shared" si="36"/>
        <v/>
      </c>
      <c r="AJ440" t="str">
        <f t="shared" si="37"/>
        <v/>
      </c>
      <c r="AN440" t="str">
        <f>IF(AM440&lt;&gt;"",CONCATENATE(AC440," &amp; ",SUBSTITUTE(AJ440,","," ")," &amp; ",SUBSTITUTE(AF440,"."," ")," &amp; ",AL440," &amp; ",AM440," \\"),"")</f>
        <v/>
      </c>
    </row>
    <row r="441" spans="1:40" x14ac:dyDescent="0.2">
      <c r="A441" t="s">
        <v>736</v>
      </c>
      <c r="B441" t="s">
        <v>737</v>
      </c>
      <c r="C441">
        <v>0</v>
      </c>
      <c r="D441" t="s">
        <v>738</v>
      </c>
      <c r="E441" t="s">
        <v>739</v>
      </c>
      <c r="F441" t="s">
        <v>8</v>
      </c>
      <c r="G441" t="s">
        <v>740</v>
      </c>
      <c r="H441" t="s">
        <v>830</v>
      </c>
      <c r="I441" t="s">
        <v>1952</v>
      </c>
      <c r="J441" t="s">
        <v>1184</v>
      </c>
      <c r="K441" t="s">
        <v>897</v>
      </c>
      <c r="L441" t="s">
        <v>1553</v>
      </c>
      <c r="M441" t="s">
        <v>876</v>
      </c>
      <c r="N441">
        <v>2010</v>
      </c>
      <c r="O441" t="s">
        <v>830</v>
      </c>
      <c r="P441" s="4" t="s">
        <v>891</v>
      </c>
      <c r="Q441" s="4" t="s">
        <v>830</v>
      </c>
      <c r="T441" t="s">
        <v>830</v>
      </c>
      <c r="U441" t="s">
        <v>830</v>
      </c>
      <c r="W441" t="s">
        <v>1958</v>
      </c>
      <c r="X441" t="s">
        <v>1975</v>
      </c>
      <c r="Y441" t="s">
        <v>830</v>
      </c>
      <c r="Z441">
        <v>4</v>
      </c>
      <c r="AA441">
        <v>35</v>
      </c>
      <c r="AB441">
        <v>17.367999999999999</v>
      </c>
      <c r="AC441" t="str">
        <f t="shared" ref="AC441:AC504" si="40">IF(AND(A441&lt;&gt;A440,T441="Yes"),A441,"")</f>
        <v>VACTAU</v>
      </c>
      <c r="AD441" s="4" t="s">
        <v>3065</v>
      </c>
      <c r="AE441" t="str">
        <f t="shared" si="35"/>
        <v>Dihydrocarbamazepine</v>
      </c>
      <c r="AF441" t="str">
        <f>AE441</f>
        <v>Dihydrocarbamazepine</v>
      </c>
      <c r="AG441" s="15" t="s">
        <v>2885</v>
      </c>
      <c r="AH441" t="s">
        <v>3066</v>
      </c>
      <c r="AI441" t="str">
        <f t="shared" si="36"/>
        <v>CSD,version,6.01</v>
      </c>
      <c r="AJ441" t="str">
        <f t="shared" si="37"/>
        <v>C15,H14,N2,O1</v>
      </c>
      <c r="AK441" t="s">
        <v>3418</v>
      </c>
      <c r="AL441">
        <v>2</v>
      </c>
      <c r="AM441">
        <v>3</v>
      </c>
      <c r="AN441" t="str">
        <f>IF(AM441&lt;&gt;"",CONCATENATE(AC441," &amp; \ce{",SUBSTITUTE(AJ441,","," "),"} &amp; ",SUBSTITUTE(AF441,"."," ")," &amp; ",AL441," &amp; ",AM441," \\"),"")</f>
        <v>VACTAU &amp; \ce{C15 H14 N2 O1} &amp; Dihydrocarbamazepine &amp; 2 &amp; 3 \\</v>
      </c>
    </row>
    <row r="442" spans="1:40" x14ac:dyDescent="0.2">
      <c r="A442" t="s">
        <v>736</v>
      </c>
      <c r="B442" t="s">
        <v>737</v>
      </c>
      <c r="C442">
        <v>10</v>
      </c>
      <c r="D442" t="s">
        <v>738</v>
      </c>
      <c r="E442" t="s">
        <v>739</v>
      </c>
      <c r="F442" t="s">
        <v>8</v>
      </c>
      <c r="G442" t="s">
        <v>741</v>
      </c>
      <c r="H442" s="4" t="s">
        <v>830</v>
      </c>
      <c r="I442" t="s">
        <v>1952</v>
      </c>
      <c r="J442" t="s">
        <v>1489</v>
      </c>
      <c r="K442" t="s">
        <v>847</v>
      </c>
      <c r="L442" s="4" t="s">
        <v>1492</v>
      </c>
      <c r="M442" t="s">
        <v>930</v>
      </c>
      <c r="N442">
        <v>2016</v>
      </c>
      <c r="O442" t="s">
        <v>830</v>
      </c>
      <c r="P442" s="4" t="s">
        <v>1493</v>
      </c>
      <c r="Q442" s="4" t="s">
        <v>830</v>
      </c>
      <c r="S442" t="s">
        <v>935</v>
      </c>
      <c r="T442" s="4" t="s">
        <v>830</v>
      </c>
      <c r="U442" s="4" t="s">
        <v>830</v>
      </c>
      <c r="W442" t="s">
        <v>1958</v>
      </c>
      <c r="X442" t="s">
        <v>1976</v>
      </c>
      <c r="Y442" t="s">
        <v>830</v>
      </c>
      <c r="Z442">
        <v>4</v>
      </c>
      <c r="AA442">
        <v>153</v>
      </c>
      <c r="AB442">
        <v>15</v>
      </c>
      <c r="AC442" t="str">
        <f t="shared" si="40"/>
        <v/>
      </c>
      <c r="AE442" t="str">
        <f t="shared" si="35"/>
        <v/>
      </c>
      <c r="AI442" t="str">
        <f t="shared" si="36"/>
        <v/>
      </c>
      <c r="AJ442" t="str">
        <f t="shared" si="37"/>
        <v/>
      </c>
      <c r="AN442" t="str">
        <f>IF(AM442&lt;&gt;"",CONCATENATE(AC442," &amp; ",SUBSTITUTE(AJ442,","," ")," &amp; ",SUBSTITUTE(AF442,"."," ")," &amp; ",AL442," &amp; ",AM442," \\"),"")</f>
        <v/>
      </c>
    </row>
    <row r="443" spans="1:40" x14ac:dyDescent="0.2">
      <c r="A443" t="s">
        <v>736</v>
      </c>
      <c r="B443" t="s">
        <v>737</v>
      </c>
      <c r="C443">
        <v>30</v>
      </c>
      <c r="D443" t="s">
        <v>738</v>
      </c>
      <c r="E443" t="s">
        <v>739</v>
      </c>
      <c r="F443" t="s">
        <v>8</v>
      </c>
      <c r="G443" t="s">
        <v>741</v>
      </c>
      <c r="H443" s="4" t="s">
        <v>830</v>
      </c>
      <c r="I443" t="s">
        <v>1952</v>
      </c>
      <c r="J443" t="s">
        <v>1490</v>
      </c>
      <c r="K443" t="s">
        <v>847</v>
      </c>
      <c r="L443" s="4" t="s">
        <v>1484</v>
      </c>
      <c r="M443" t="s">
        <v>930</v>
      </c>
      <c r="N443">
        <v>2016</v>
      </c>
      <c r="O443" t="s">
        <v>830</v>
      </c>
      <c r="P443" s="4" t="s">
        <v>891</v>
      </c>
      <c r="Q443" s="4" t="s">
        <v>830</v>
      </c>
      <c r="S443" t="s">
        <v>936</v>
      </c>
      <c r="T443" s="4" t="s">
        <v>830</v>
      </c>
      <c r="U443" s="4" t="s">
        <v>830</v>
      </c>
      <c r="W443" t="s">
        <v>1958</v>
      </c>
      <c r="X443" t="s">
        <v>1977</v>
      </c>
      <c r="Y443" t="s">
        <v>830</v>
      </c>
      <c r="Z443">
        <v>4</v>
      </c>
      <c r="AA443">
        <v>153</v>
      </c>
      <c r="AB443">
        <v>18.091000000000001</v>
      </c>
      <c r="AC443" t="str">
        <f t="shared" si="40"/>
        <v/>
      </c>
      <c r="AE443" t="str">
        <f t="shared" si="35"/>
        <v/>
      </c>
      <c r="AI443" t="str">
        <f t="shared" si="36"/>
        <v/>
      </c>
      <c r="AJ443" t="str">
        <f t="shared" si="37"/>
        <v/>
      </c>
      <c r="AN443" t="str">
        <f>IF(AM443&lt;&gt;"",CONCATENATE(AC443," &amp; ",SUBSTITUTE(AJ443,","," ")," &amp; ",SUBSTITUTE(AF443,"."," ")," &amp; ",AL443," &amp; ",AM443," \\"),"")</f>
        <v/>
      </c>
    </row>
    <row r="444" spans="1:40" ht="15" x14ac:dyDescent="0.25">
      <c r="A444" t="s">
        <v>742</v>
      </c>
      <c r="B444" t="s">
        <v>2327</v>
      </c>
      <c r="C444">
        <v>10</v>
      </c>
      <c r="D444" t="s">
        <v>743</v>
      </c>
      <c r="E444" t="s">
        <v>743</v>
      </c>
      <c r="F444" t="s">
        <v>8</v>
      </c>
      <c r="G444" t="s">
        <v>744</v>
      </c>
      <c r="H444" t="s">
        <v>830</v>
      </c>
      <c r="I444" s="4" t="s">
        <v>2385</v>
      </c>
      <c r="J444" t="s">
        <v>1250</v>
      </c>
      <c r="K444" t="s">
        <v>848</v>
      </c>
      <c r="L444" t="s">
        <v>2322</v>
      </c>
      <c r="M444" t="s">
        <v>2324</v>
      </c>
      <c r="N444">
        <v>2018</v>
      </c>
      <c r="O444" t="s">
        <v>830</v>
      </c>
      <c r="P444" t="s">
        <v>2330</v>
      </c>
      <c r="Q444" s="4" t="s">
        <v>830</v>
      </c>
      <c r="T444" s="4" t="s">
        <v>830</v>
      </c>
      <c r="U444" s="4" t="s">
        <v>830</v>
      </c>
      <c r="W444" t="s">
        <v>2343</v>
      </c>
      <c r="X444" t="s">
        <v>2339</v>
      </c>
      <c r="Y444" t="s">
        <v>830</v>
      </c>
      <c r="Z444">
        <v>1</v>
      </c>
      <c r="AA444">
        <v>1688</v>
      </c>
      <c r="AB444">
        <v>36.856999999999999</v>
      </c>
      <c r="AC444" t="str">
        <f t="shared" si="40"/>
        <v>VOLZEC</v>
      </c>
      <c r="AD444" t="s">
        <v>3160</v>
      </c>
      <c r="AE444" t="str">
        <f t="shared" si="35"/>
        <v>2C4NBA</v>
      </c>
      <c r="AF444" t="s">
        <v>3171</v>
      </c>
      <c r="AG444" s="15" t="s">
        <v>2919</v>
      </c>
      <c r="AH444" t="s">
        <v>2884</v>
      </c>
      <c r="AI444" t="str">
        <f t="shared" si="36"/>
        <v>CSD,version,6.01,with,Feb,2026,update</v>
      </c>
      <c r="AJ444" t="str">
        <f t="shared" si="37"/>
        <v>C7,H4,N1,O4,Cl1</v>
      </c>
      <c r="AL444">
        <v>1</v>
      </c>
      <c r="AM444">
        <v>1</v>
      </c>
      <c r="AN444" t="str">
        <f>IF(AM444&lt;&gt;"",CONCATENATE(AC444," &amp; \ce{",SUBSTITUTE(AJ444,","," "),"} &amp; ",SUBSTITUTE(AF444,"."," ")," &amp; ",AL444," &amp; ",AM444," \\"),"")</f>
        <v>VOLZEC &amp; \ce{C7 H4 N1 O4 Cl1} &amp; 2-Chloro-4-Nitrobenzoic Acid &amp; 1 &amp; 1 \\</v>
      </c>
    </row>
    <row r="445" spans="1:40" ht="15" x14ac:dyDescent="0.25">
      <c r="A445" t="s">
        <v>3425</v>
      </c>
      <c r="B445" t="s">
        <v>2327</v>
      </c>
      <c r="C445">
        <v>10</v>
      </c>
      <c r="D445" t="s">
        <v>172</v>
      </c>
      <c r="E445" t="s">
        <v>172</v>
      </c>
      <c r="F445" t="s">
        <v>8</v>
      </c>
      <c r="G445" s="4" t="s">
        <v>3425</v>
      </c>
      <c r="H445" t="s">
        <v>830</v>
      </c>
      <c r="I445" t="s">
        <v>2841</v>
      </c>
      <c r="J445" t="s">
        <v>1258</v>
      </c>
      <c r="K445" t="s">
        <v>848</v>
      </c>
      <c r="L445" t="s">
        <v>2322</v>
      </c>
      <c r="M445" t="s">
        <v>2324</v>
      </c>
      <c r="N445">
        <v>2018</v>
      </c>
      <c r="O445" t="s">
        <v>830</v>
      </c>
      <c r="P445" t="s">
        <v>2330</v>
      </c>
      <c r="Q445" t="s">
        <v>830</v>
      </c>
      <c r="T445" t="s">
        <v>830</v>
      </c>
      <c r="U445" t="s">
        <v>830</v>
      </c>
      <c r="W445" t="s">
        <v>2343</v>
      </c>
      <c r="X445" t="s">
        <v>2331</v>
      </c>
      <c r="Y445" t="s">
        <v>830</v>
      </c>
      <c r="Z445">
        <v>1</v>
      </c>
      <c r="AA445">
        <v>525</v>
      </c>
      <c r="AB445">
        <v>19.41</v>
      </c>
      <c r="AC445" t="str">
        <f t="shared" si="40"/>
        <v>WADCOY</v>
      </c>
      <c r="AD445" t="s">
        <v>3150</v>
      </c>
      <c r="AE445" t="str">
        <f t="shared" si="35"/>
        <v>4C2NBA</v>
      </c>
      <c r="AF445" t="s">
        <v>3161</v>
      </c>
      <c r="AG445" s="15" t="s">
        <v>3426</v>
      </c>
      <c r="AH445" t="s">
        <v>3061</v>
      </c>
      <c r="AI445" t="str">
        <f t="shared" si="36"/>
        <v>CSD,version,6.01,with,Feb,and,May,2026,updates</v>
      </c>
      <c r="AJ445" t="str">
        <f t="shared" si="37"/>
        <v>C7,H4,N1,O4,Cl1</v>
      </c>
      <c r="AL445">
        <v>1</v>
      </c>
      <c r="AM445">
        <v>1</v>
      </c>
      <c r="AN445" t="str">
        <f>IF(AM445&lt;&gt;"",CONCATENATE(AC445," &amp; \ce{",SUBSTITUTE(AJ445,","," "),"} &amp; ",SUBSTITUTE(AF445,"."," ")," &amp; ",AL445," &amp; ",AM445," \\"),"")</f>
        <v>WADCOY &amp; \ce{C7 H4 N1 O4 Cl1} &amp; 4-Chloro-2-Nitrobenzoic Acid &amp; 1 &amp; 1 \\</v>
      </c>
    </row>
    <row r="446" spans="1:40" ht="15" x14ac:dyDescent="0.25">
      <c r="A446" t="s">
        <v>2749</v>
      </c>
      <c r="B446" s="17" t="s">
        <v>3439</v>
      </c>
      <c r="C446">
        <v>10</v>
      </c>
      <c r="D446" t="s">
        <v>684</v>
      </c>
      <c r="E446" t="s">
        <v>685</v>
      </c>
      <c r="F446" t="s">
        <v>8</v>
      </c>
      <c r="G446" t="s">
        <v>2749</v>
      </c>
      <c r="H446" s="4" t="s">
        <v>830</v>
      </c>
      <c r="I446" t="s">
        <v>2385</v>
      </c>
      <c r="J446" t="s">
        <v>1332</v>
      </c>
      <c r="K446" t="s">
        <v>851</v>
      </c>
      <c r="L446" s="4" t="s">
        <v>2750</v>
      </c>
      <c r="M446" t="s">
        <v>887</v>
      </c>
      <c r="N446">
        <v>2012</v>
      </c>
      <c r="O446" t="s">
        <v>830</v>
      </c>
      <c r="P446" t="s">
        <v>887</v>
      </c>
      <c r="Q446" t="s">
        <v>830</v>
      </c>
      <c r="T446" t="s">
        <v>830</v>
      </c>
      <c r="U446" t="s">
        <v>830</v>
      </c>
      <c r="W446" s="4" t="s">
        <v>2754</v>
      </c>
      <c r="X446" s="4" t="s">
        <v>2753</v>
      </c>
      <c r="Y446" s="4" t="s">
        <v>830</v>
      </c>
      <c r="Z446">
        <v>1</v>
      </c>
      <c r="AA446">
        <v>142</v>
      </c>
      <c r="AB446">
        <v>67.010999999999996</v>
      </c>
      <c r="AC446" t="str">
        <f t="shared" si="40"/>
        <v>WEMGEC</v>
      </c>
      <c r="AD446" t="s">
        <v>3292</v>
      </c>
      <c r="AE446" t="str">
        <f t="shared" si="35"/>
        <v>EphedriniumTartrate</v>
      </c>
      <c r="AF446" t="s">
        <v>3293</v>
      </c>
      <c r="AG446" s="15" t="s">
        <v>3132</v>
      </c>
      <c r="AH446" t="s">
        <v>2888</v>
      </c>
      <c r="AI446" t="str">
        <f t="shared" si="36"/>
        <v>CSD,version,6.01,with,Feb,2026,update</v>
      </c>
      <c r="AJ446" t="str">
        <f t="shared" si="37"/>
        <v>C10,H16,N1,O1,+,.,C4,H5,O6,-</v>
      </c>
      <c r="AL446">
        <v>1</v>
      </c>
      <c r="AM446">
        <v>2</v>
      </c>
      <c r="AN446" t="str">
        <f>IF(AM446&lt;&gt;"",CONCATENATE(AC446," &amp; \ce{",SUBSTITUTE(AJ446,","," "),"} &amp; ",SUBSTITUTE(AF446,"."," ")," &amp; ",AL446," &amp; ",AM446," \\"),"")</f>
        <v>WEMGEC &amp; \ce{C10 H16 N1 O1 + . C4 H5 O6 -} &amp; Ephedrinium Tartrate &amp; 1 &amp; 2 \\</v>
      </c>
    </row>
    <row r="447" spans="1:40" ht="15" x14ac:dyDescent="0.25">
      <c r="A447" t="s">
        <v>2749</v>
      </c>
      <c r="B447" s="17" t="s">
        <v>3439</v>
      </c>
      <c r="C447">
        <v>30</v>
      </c>
      <c r="D447" t="s">
        <v>684</v>
      </c>
      <c r="E447" t="s">
        <v>685</v>
      </c>
      <c r="F447" t="s">
        <v>8</v>
      </c>
      <c r="G447" t="s">
        <v>2749</v>
      </c>
      <c r="H447" s="4" t="s">
        <v>830</v>
      </c>
      <c r="I447" t="s">
        <v>2385</v>
      </c>
      <c r="J447" t="s">
        <v>1333</v>
      </c>
      <c r="K447" t="s">
        <v>851</v>
      </c>
      <c r="L447" s="4" t="s">
        <v>1527</v>
      </c>
      <c r="M447" t="s">
        <v>2600</v>
      </c>
      <c r="N447">
        <v>2012</v>
      </c>
      <c r="O447" t="s">
        <v>830</v>
      </c>
      <c r="P447" t="s">
        <v>2751</v>
      </c>
      <c r="Q447" t="s">
        <v>830</v>
      </c>
      <c r="T447" t="s">
        <v>830</v>
      </c>
      <c r="U447" t="s">
        <v>830</v>
      </c>
      <c r="W447" s="4" t="s">
        <v>2754</v>
      </c>
      <c r="X447" t="s">
        <v>2752</v>
      </c>
      <c r="Y447" t="s">
        <v>830</v>
      </c>
      <c r="Z447">
        <v>1</v>
      </c>
      <c r="AA447">
        <v>141</v>
      </c>
      <c r="AB447">
        <v>81.63</v>
      </c>
      <c r="AC447" t="str">
        <f t="shared" si="40"/>
        <v/>
      </c>
      <c r="AE447" t="str">
        <f t="shared" si="35"/>
        <v/>
      </c>
      <c r="AI447" t="str">
        <f t="shared" si="36"/>
        <v/>
      </c>
      <c r="AJ447" t="str">
        <f t="shared" si="37"/>
        <v/>
      </c>
      <c r="AN447" t="str">
        <f>IF(AM447&lt;&gt;"",CONCATENATE(AC447," &amp; ",SUBSTITUTE(AJ447,","," ")," &amp; ",SUBSTITUTE(AF447,"."," ")," &amp; ",AL447," &amp; ",AM447," \\"),"")</f>
        <v/>
      </c>
    </row>
    <row r="448" spans="1:40" ht="15" x14ac:dyDescent="0.25">
      <c r="A448" t="s">
        <v>1062</v>
      </c>
      <c r="B448" s="17" t="s">
        <v>3431</v>
      </c>
      <c r="C448">
        <v>0</v>
      </c>
      <c r="D448" t="s">
        <v>102</v>
      </c>
      <c r="E448" t="s">
        <v>103</v>
      </c>
      <c r="F448" t="s">
        <v>104</v>
      </c>
      <c r="G448" t="s">
        <v>1062</v>
      </c>
      <c r="H448" t="s">
        <v>830</v>
      </c>
      <c r="I448" t="s">
        <v>1952</v>
      </c>
      <c r="J448" t="s">
        <v>2267</v>
      </c>
      <c r="K448" t="s">
        <v>1668</v>
      </c>
      <c r="L448" t="s">
        <v>1553</v>
      </c>
      <c r="M448" t="s">
        <v>2257</v>
      </c>
      <c r="N448">
        <v>2008</v>
      </c>
      <c r="O448" t="s">
        <v>830</v>
      </c>
      <c r="P448" t="s">
        <v>830</v>
      </c>
      <c r="Q448" t="s">
        <v>830</v>
      </c>
      <c r="T448" t="s">
        <v>830</v>
      </c>
      <c r="U448" t="s">
        <v>830</v>
      </c>
      <c r="W448" t="s">
        <v>2269</v>
      </c>
      <c r="X448" t="s">
        <v>2270</v>
      </c>
      <c r="Y448" t="s">
        <v>830</v>
      </c>
      <c r="Z448">
        <v>0</v>
      </c>
      <c r="AA448">
        <v>103</v>
      </c>
      <c r="AB448">
        <v>10</v>
      </c>
      <c r="AC448" t="str">
        <f t="shared" si="40"/>
        <v>WICZUF</v>
      </c>
      <c r="AD448" t="s">
        <v>2927</v>
      </c>
      <c r="AE448" t="str">
        <f t="shared" si="35"/>
        <v>BTXV</v>
      </c>
      <c r="AF448" t="s">
        <v>2940</v>
      </c>
      <c r="AG448" s="15" t="s">
        <v>2919</v>
      </c>
      <c r="AH448" t="s">
        <v>2897</v>
      </c>
      <c r="AI448" t="str">
        <f t="shared" si="36"/>
        <v>CSD,version,6.01</v>
      </c>
      <c r="AJ448" t="str">
        <f t="shared" si="37"/>
        <v>C8,H4,O2,.,C5,H7,N3</v>
      </c>
      <c r="AK448" s="4" t="s">
        <v>3059</v>
      </c>
      <c r="AL448">
        <v>2</v>
      </c>
      <c r="AM448">
        <v>2</v>
      </c>
      <c r="AN448" t="str">
        <f>IF(AM448&lt;&gt;"",CONCATENATE(AC448," &amp; \ce{",SUBSTITUTE(AJ448,","," "),"} &amp; ",SUBSTITUTE(AF448,"."," ")," &amp; ",AL448," &amp; ",AM448," \\"),"")</f>
        <v>WICZUF &amp; \ce{C8 H4 O2 . C5 H7 N3} &amp; Aminopyrimidine Otolic acid Cocrystal (Blind Test XV) &amp; 2 &amp; 2 \\</v>
      </c>
    </row>
    <row r="449" spans="1:40" ht="15" x14ac:dyDescent="0.25">
      <c r="A449" t="s">
        <v>1062</v>
      </c>
      <c r="B449" s="17" t="s">
        <v>3431</v>
      </c>
      <c r="C449">
        <v>10</v>
      </c>
      <c r="D449" t="s">
        <v>102</v>
      </c>
      <c r="E449" t="s">
        <v>105</v>
      </c>
      <c r="F449" t="s">
        <v>104</v>
      </c>
      <c r="G449" t="s">
        <v>1062</v>
      </c>
      <c r="H449" t="s">
        <v>830</v>
      </c>
      <c r="I449" t="s">
        <v>1952</v>
      </c>
      <c r="J449" t="s">
        <v>2265</v>
      </c>
      <c r="K449" t="s">
        <v>1668</v>
      </c>
      <c r="L449" t="s">
        <v>2266</v>
      </c>
      <c r="M449" t="s">
        <v>2257</v>
      </c>
      <c r="N449">
        <v>2008</v>
      </c>
      <c r="O449" t="s">
        <v>830</v>
      </c>
      <c r="P449" t="s">
        <v>830</v>
      </c>
      <c r="Q449" t="s">
        <v>830</v>
      </c>
      <c r="T449" t="s">
        <v>830</v>
      </c>
      <c r="U449" t="s">
        <v>830</v>
      </c>
      <c r="W449" t="s">
        <v>2269</v>
      </c>
      <c r="X449" t="s">
        <v>2271</v>
      </c>
      <c r="Y449" t="s">
        <v>830</v>
      </c>
      <c r="Z449">
        <v>1</v>
      </c>
      <c r="AA449">
        <v>35</v>
      </c>
      <c r="AB449">
        <v>13.552</v>
      </c>
      <c r="AC449" t="str">
        <f t="shared" si="40"/>
        <v/>
      </c>
      <c r="AE449" t="str">
        <f t="shared" si="35"/>
        <v/>
      </c>
      <c r="AI449" t="str">
        <f t="shared" si="36"/>
        <v/>
      </c>
      <c r="AJ449" t="str">
        <f t="shared" si="37"/>
        <v/>
      </c>
      <c r="AN449" t="str">
        <f>IF(AM449&lt;&gt;"",CONCATENATE(AC449," &amp; ",SUBSTITUTE(AJ449,","," ")," &amp; ",SUBSTITUTE(AF449,"."," ")," &amp; ",AL449," &amp; ",AM449," \\"),"")</f>
        <v/>
      </c>
    </row>
    <row r="450" spans="1:40" x14ac:dyDescent="0.2">
      <c r="A450" s="8" t="s">
        <v>1062</v>
      </c>
      <c r="B450" s="8" t="s">
        <v>3431</v>
      </c>
      <c r="C450" s="8">
        <v>11</v>
      </c>
      <c r="D450" s="8" t="s">
        <v>102</v>
      </c>
      <c r="E450" s="8" t="s">
        <v>105</v>
      </c>
      <c r="F450" s="8" t="s">
        <v>104</v>
      </c>
      <c r="G450" s="8" t="s">
        <v>1062</v>
      </c>
      <c r="H450" t="s">
        <v>2268</v>
      </c>
      <c r="J450" t="s">
        <v>1150</v>
      </c>
      <c r="K450" t="s">
        <v>839</v>
      </c>
      <c r="M450" t="s">
        <v>891</v>
      </c>
      <c r="N450">
        <v>2009</v>
      </c>
      <c r="T450" t="s">
        <v>1598</v>
      </c>
      <c r="W450" t="s">
        <v>2269</v>
      </c>
      <c r="AA450" s="8">
        <v>34</v>
      </c>
      <c r="AB450" s="8">
        <v>26.82</v>
      </c>
      <c r="AC450" t="str">
        <f t="shared" si="40"/>
        <v/>
      </c>
      <c r="AE450" t="str">
        <f t="shared" ref="AE450:AE513" si="41">IF(AC450="","",MID(X450,1,(FIND("_",X450))-1))</f>
        <v/>
      </c>
      <c r="AI450" t="str">
        <f t="shared" ref="AI450:AI513" si="42">IF(AC450="","",SUBSTITUTE(IF(MID(I450,1,5)="Yes, ",MID(I450,6,100),I450)," ",","))</f>
        <v/>
      </c>
      <c r="AJ450" t="str">
        <f t="shared" ref="AJ450:AJ513" si="43">IF(AC450="","",SUBSTITUTE(B450," ",","))</f>
        <v/>
      </c>
      <c r="AN450" t="str">
        <f>IF(AM450&lt;&gt;"",CONCATENATE(AC450," &amp; ",SUBSTITUTE(AJ450,","," ")," &amp; ",SUBSTITUTE(AF450,"."," ")," &amp; ",AL450," &amp; ",AM450," \\"),"")</f>
        <v/>
      </c>
    </row>
    <row r="451" spans="1:40" x14ac:dyDescent="0.2">
      <c r="A451" s="8" t="s">
        <v>1062</v>
      </c>
      <c r="B451" s="8" t="s">
        <v>3431</v>
      </c>
      <c r="C451" s="8">
        <v>12</v>
      </c>
      <c r="D451" s="8" t="s">
        <v>102</v>
      </c>
      <c r="E451" s="8" t="s">
        <v>105</v>
      </c>
      <c r="F451" s="8" t="s">
        <v>104</v>
      </c>
      <c r="G451" s="8" t="s">
        <v>1062</v>
      </c>
      <c r="H451" t="s">
        <v>2268</v>
      </c>
      <c r="J451" t="s">
        <v>1151</v>
      </c>
      <c r="K451" t="s">
        <v>839</v>
      </c>
      <c r="M451" t="s">
        <v>891</v>
      </c>
      <c r="N451">
        <v>2009</v>
      </c>
      <c r="T451" t="s">
        <v>1598</v>
      </c>
      <c r="W451" t="s">
        <v>2269</v>
      </c>
      <c r="AA451" s="8">
        <v>34</v>
      </c>
      <c r="AB451" s="8">
        <v>33.08</v>
      </c>
      <c r="AC451" t="str">
        <f t="shared" si="40"/>
        <v/>
      </c>
      <c r="AE451" t="str">
        <f t="shared" si="41"/>
        <v/>
      </c>
      <c r="AI451" t="str">
        <f t="shared" si="42"/>
        <v/>
      </c>
      <c r="AJ451" t="str">
        <f t="shared" si="43"/>
        <v/>
      </c>
      <c r="AN451" t="str">
        <f>IF(AM451&lt;&gt;"",CONCATENATE(AC451," &amp; ",SUBSTITUTE(AJ451,","," ")," &amp; ",SUBSTITUTE(AF451,"."," ")," &amp; ",AL451," &amp; ",AM451," \\"),"")</f>
        <v/>
      </c>
    </row>
    <row r="452" spans="1:40" x14ac:dyDescent="0.2">
      <c r="A452" t="s">
        <v>1061</v>
      </c>
      <c r="B452" t="s">
        <v>99</v>
      </c>
      <c r="C452">
        <v>0</v>
      </c>
      <c r="D452" t="s">
        <v>98</v>
      </c>
      <c r="E452" t="s">
        <v>100</v>
      </c>
      <c r="F452" t="s">
        <v>101</v>
      </c>
      <c r="G452" t="s">
        <v>1061</v>
      </c>
      <c r="H452" t="s">
        <v>830</v>
      </c>
      <c r="I452" t="s">
        <v>1952</v>
      </c>
      <c r="J452" t="s">
        <v>1148</v>
      </c>
      <c r="K452" t="s">
        <v>2296</v>
      </c>
      <c r="L452" t="s">
        <v>1553</v>
      </c>
      <c r="M452" t="s">
        <v>2257</v>
      </c>
      <c r="N452">
        <v>2008</v>
      </c>
      <c r="O452" t="s">
        <v>830</v>
      </c>
      <c r="P452" t="s">
        <v>891</v>
      </c>
      <c r="Q452" t="s">
        <v>830</v>
      </c>
      <c r="T452" t="s">
        <v>830</v>
      </c>
      <c r="U452" t="s">
        <v>830</v>
      </c>
      <c r="W452" t="s">
        <v>2281</v>
      </c>
      <c r="X452" t="s">
        <v>2299</v>
      </c>
      <c r="Y452" t="s">
        <v>830</v>
      </c>
      <c r="Z452">
        <v>1</v>
      </c>
      <c r="AA452">
        <v>174</v>
      </c>
      <c r="AB452">
        <v>12.32</v>
      </c>
      <c r="AC452" t="str">
        <f t="shared" si="40"/>
        <v>WIDBAO</v>
      </c>
      <c r="AD452" t="s">
        <v>2916</v>
      </c>
      <c r="AE452" t="str">
        <f t="shared" si="41"/>
        <v>BTXIV</v>
      </c>
      <c r="AF452" t="s">
        <v>2967</v>
      </c>
      <c r="AG452" s="15" t="s">
        <v>2925</v>
      </c>
      <c r="AH452" t="s">
        <v>2888</v>
      </c>
      <c r="AI452" t="str">
        <f t="shared" si="42"/>
        <v>CSD,version,6.01</v>
      </c>
      <c r="AJ452" t="str">
        <f t="shared" si="43"/>
        <v>C10,H10,N2,S3</v>
      </c>
      <c r="AK452" s="4" t="s">
        <v>3059</v>
      </c>
      <c r="AL452">
        <v>1</v>
      </c>
      <c r="AM452">
        <v>2</v>
      </c>
      <c r="AN452" t="str">
        <f>IF(AM452&lt;&gt;"",CONCATENATE(AC452," &amp; \ce{",SUBSTITUTE(AJ452,","," "),"} &amp; ",SUBSTITUTE(AF452,"."," ")," &amp; ",AL452," &amp; ",AM452," \\"),"")</f>
        <v>WIDBAO &amp; \ce{C10 H10 N2 S3} &amp; Blind Test XIV (WIDBAO) &amp; 1 &amp; 2 \\</v>
      </c>
    </row>
    <row r="453" spans="1:40" x14ac:dyDescent="0.2">
      <c r="A453" t="s">
        <v>1061</v>
      </c>
      <c r="B453" t="s">
        <v>99</v>
      </c>
      <c r="C453">
        <v>10</v>
      </c>
      <c r="D453" t="s">
        <v>98</v>
      </c>
      <c r="E453" t="s">
        <v>100</v>
      </c>
      <c r="F453" t="s">
        <v>101</v>
      </c>
      <c r="G453" t="s">
        <v>1061</v>
      </c>
      <c r="H453" t="s">
        <v>830</v>
      </c>
      <c r="I453" t="s">
        <v>1952</v>
      </c>
      <c r="J453" t="s">
        <v>1149</v>
      </c>
      <c r="K453" t="s">
        <v>2296</v>
      </c>
      <c r="L453" t="s">
        <v>2298</v>
      </c>
      <c r="M453" t="s">
        <v>2257</v>
      </c>
      <c r="N453">
        <v>2008</v>
      </c>
      <c r="O453" t="s">
        <v>830</v>
      </c>
      <c r="P453" t="s">
        <v>2297</v>
      </c>
      <c r="Q453" t="s">
        <v>830</v>
      </c>
      <c r="T453" t="s">
        <v>830</v>
      </c>
      <c r="U453" t="s">
        <v>830</v>
      </c>
      <c r="W453" t="s">
        <v>2281</v>
      </c>
      <c r="X453" t="s">
        <v>2300</v>
      </c>
      <c r="Y453" t="s">
        <v>830</v>
      </c>
      <c r="Z453">
        <v>1</v>
      </c>
      <c r="AA453">
        <v>10</v>
      </c>
      <c r="AB453">
        <v>10</v>
      </c>
      <c r="AC453" t="str">
        <f t="shared" si="40"/>
        <v/>
      </c>
      <c r="AE453" t="str">
        <f t="shared" si="41"/>
        <v/>
      </c>
      <c r="AI453" t="str">
        <f t="shared" si="42"/>
        <v/>
      </c>
      <c r="AJ453" t="str">
        <f t="shared" si="43"/>
        <v/>
      </c>
      <c r="AN453" t="str">
        <f>IF(AM453&lt;&gt;"",CONCATENATE(AC453," &amp; ",SUBSTITUTE(AJ453,","," ")," &amp; ",SUBSTITUTE(AF453,"."," ")," &amp; ",AL453," &amp; ",AM453," \\"),"")</f>
        <v/>
      </c>
    </row>
    <row r="454" spans="1:40" x14ac:dyDescent="0.2">
      <c r="A454" t="s">
        <v>745</v>
      </c>
      <c r="B454" t="s">
        <v>746</v>
      </c>
      <c r="C454">
        <v>10</v>
      </c>
      <c r="D454" t="s">
        <v>747</v>
      </c>
      <c r="E454" t="s">
        <v>749</v>
      </c>
      <c r="F454" t="s">
        <v>8</v>
      </c>
      <c r="G454" t="s">
        <v>2387</v>
      </c>
      <c r="H454" t="s">
        <v>830</v>
      </c>
      <c r="I454" t="s">
        <v>2385</v>
      </c>
      <c r="J454" t="s">
        <v>1455</v>
      </c>
      <c r="K454" t="s">
        <v>839</v>
      </c>
      <c r="L454" t="s">
        <v>2384</v>
      </c>
      <c r="M454" s="2" t="s">
        <v>2388</v>
      </c>
      <c r="N454">
        <v>2013</v>
      </c>
      <c r="O454" t="s">
        <v>830</v>
      </c>
      <c r="P454" t="s">
        <v>2382</v>
      </c>
      <c r="Q454" t="s">
        <v>830</v>
      </c>
      <c r="T454" t="s">
        <v>830</v>
      </c>
      <c r="U454" t="s">
        <v>830</v>
      </c>
      <c r="W454" t="s">
        <v>2420</v>
      </c>
      <c r="X454" t="s">
        <v>2418</v>
      </c>
      <c r="Y454" t="s">
        <v>830</v>
      </c>
      <c r="Z454">
        <v>5</v>
      </c>
      <c r="AA454">
        <v>837</v>
      </c>
      <c r="AB454">
        <v>46.722999999999999</v>
      </c>
      <c r="AC454" t="str">
        <f t="shared" si="40"/>
        <v>WIMBAV</v>
      </c>
      <c r="AD454" t="s">
        <v>747</v>
      </c>
      <c r="AE454" t="str">
        <f t="shared" si="41"/>
        <v>Tazofelone</v>
      </c>
      <c r="AF454" t="str">
        <f>AE454</f>
        <v>Tazofelone</v>
      </c>
      <c r="AG454" s="15" t="s">
        <v>2919</v>
      </c>
      <c r="AH454" t="s">
        <v>2888</v>
      </c>
      <c r="AI454" t="str">
        <f t="shared" si="42"/>
        <v>CSD,version,6.01,with,Feb,2026,update</v>
      </c>
      <c r="AJ454" t="str">
        <f t="shared" si="43"/>
        <v>C18,H27,N1,O2,S1</v>
      </c>
      <c r="AL454">
        <v>1</v>
      </c>
      <c r="AM454">
        <v>2</v>
      </c>
      <c r="AN454" t="str">
        <f>IF(AM454&lt;&gt;"",CONCATENATE(AC454," &amp; \ce{",SUBSTITUTE(AJ454,","," "),"} &amp; ",SUBSTITUTE(AF454,"."," ")," &amp; ",AL454," &amp; ",AM454," \\"),"")</f>
        <v>WIMBAV &amp; \ce{C18 H27 N1 O2 S1} &amp; Tazofelone &amp; 1 &amp; 2 \\</v>
      </c>
    </row>
    <row r="455" spans="1:40" x14ac:dyDescent="0.2">
      <c r="A455" t="s">
        <v>745</v>
      </c>
      <c r="B455" t="s">
        <v>746</v>
      </c>
      <c r="C455">
        <v>20</v>
      </c>
      <c r="D455" t="s">
        <v>747</v>
      </c>
      <c r="E455" t="s">
        <v>749</v>
      </c>
      <c r="F455" t="s">
        <v>8</v>
      </c>
      <c r="G455" t="s">
        <v>2387</v>
      </c>
      <c r="H455" t="s">
        <v>830</v>
      </c>
      <c r="I455" t="s">
        <v>2385</v>
      </c>
      <c r="J455" t="s">
        <v>1456</v>
      </c>
      <c r="K455" t="s">
        <v>839</v>
      </c>
      <c r="L455" t="s">
        <v>2383</v>
      </c>
      <c r="M455" t="s">
        <v>891</v>
      </c>
      <c r="N455">
        <v>2013</v>
      </c>
      <c r="O455" t="s">
        <v>830</v>
      </c>
      <c r="P455" t="s">
        <v>891</v>
      </c>
      <c r="Q455" t="s">
        <v>830</v>
      </c>
      <c r="T455" t="s">
        <v>830</v>
      </c>
      <c r="U455" t="s">
        <v>830</v>
      </c>
      <c r="W455" t="s">
        <v>2420</v>
      </c>
      <c r="X455" t="s">
        <v>2419</v>
      </c>
      <c r="Y455" t="s">
        <v>830</v>
      </c>
      <c r="Z455">
        <v>1</v>
      </c>
      <c r="AA455">
        <v>7675</v>
      </c>
      <c r="AB455">
        <v>97.956999999999994</v>
      </c>
      <c r="AC455" t="str">
        <f t="shared" si="40"/>
        <v/>
      </c>
      <c r="AE455" t="str">
        <f t="shared" si="41"/>
        <v/>
      </c>
      <c r="AI455" t="str">
        <f t="shared" si="42"/>
        <v/>
      </c>
      <c r="AJ455" t="str">
        <f t="shared" si="43"/>
        <v/>
      </c>
      <c r="AN455" t="str">
        <f>IF(AM455&lt;&gt;"",CONCATENATE(AC455," &amp; ",SUBSTITUTE(AJ455,","," ")," &amp; ",SUBSTITUTE(AF455,"."," ")," &amp; ",AL455," &amp; ",AM455," \\"),"")</f>
        <v/>
      </c>
    </row>
    <row r="456" spans="1:40" x14ac:dyDescent="0.2">
      <c r="A456" s="8" t="s">
        <v>745</v>
      </c>
      <c r="B456" s="8" t="s">
        <v>746</v>
      </c>
      <c r="C456" s="8">
        <v>0</v>
      </c>
      <c r="D456" s="8" t="s">
        <v>747</v>
      </c>
      <c r="E456" s="8" t="s">
        <v>747</v>
      </c>
      <c r="F456" s="8" t="s">
        <v>747</v>
      </c>
      <c r="G456" s="8" t="s">
        <v>748</v>
      </c>
      <c r="H456" s="8" t="s">
        <v>833</v>
      </c>
      <c r="I456" s="8"/>
      <c r="J456" s="8"/>
      <c r="K456" s="8" t="s">
        <v>839</v>
      </c>
      <c r="L456" s="8"/>
      <c r="M456" s="8" t="s">
        <v>891</v>
      </c>
      <c r="N456" s="8"/>
      <c r="O456" s="8"/>
      <c r="P456" s="8"/>
      <c r="Q456" s="8"/>
      <c r="R456" s="8"/>
      <c r="S456" s="8"/>
      <c r="T456" s="8" t="s">
        <v>1598</v>
      </c>
      <c r="U456" s="8"/>
      <c r="V456" s="8"/>
      <c r="W456" s="8" t="s">
        <v>2343</v>
      </c>
      <c r="X456" s="8"/>
      <c r="Y456" s="8"/>
      <c r="Z456" s="8"/>
      <c r="AA456" s="8">
        <v>2168</v>
      </c>
      <c r="AB456" s="8">
        <v>30</v>
      </c>
      <c r="AC456" t="str">
        <f t="shared" si="40"/>
        <v/>
      </c>
      <c r="AE456" t="str">
        <f t="shared" si="41"/>
        <v/>
      </c>
      <c r="AI456" t="str">
        <f t="shared" si="42"/>
        <v/>
      </c>
      <c r="AJ456" t="str">
        <f t="shared" si="43"/>
        <v/>
      </c>
      <c r="AN456" t="str">
        <f>IF(AM456&lt;&gt;"",CONCATENATE(AC456," &amp; ",SUBSTITUTE(AJ456,","," ")," &amp; ",SUBSTITUTE(AF456,"."," ")," &amp; ",AL456," &amp; ",AM456," \\"),"")</f>
        <v/>
      </c>
    </row>
    <row r="457" spans="1:40" x14ac:dyDescent="0.2">
      <c r="A457" s="8" t="s">
        <v>745</v>
      </c>
      <c r="B457" s="8" t="s">
        <v>746</v>
      </c>
      <c r="C457" s="8" t="s">
        <v>2381</v>
      </c>
      <c r="D457" s="8" t="s">
        <v>747</v>
      </c>
      <c r="E457" s="8" t="s">
        <v>749</v>
      </c>
      <c r="F457" s="8" t="s">
        <v>8</v>
      </c>
      <c r="G457" s="8" t="s">
        <v>748</v>
      </c>
      <c r="H457" s="8" t="s">
        <v>912</v>
      </c>
      <c r="I457" s="8"/>
      <c r="J457" s="8" t="s">
        <v>1457</v>
      </c>
      <c r="K457" s="8" t="s">
        <v>839</v>
      </c>
      <c r="L457" s="8"/>
      <c r="M457" s="8" t="s">
        <v>912</v>
      </c>
      <c r="N457" s="8"/>
      <c r="O457" s="8"/>
      <c r="P457" s="8"/>
      <c r="Q457" s="8"/>
      <c r="R457" s="8"/>
      <c r="S457" s="8"/>
      <c r="T457" s="8" t="s">
        <v>1598</v>
      </c>
      <c r="U457" s="8"/>
      <c r="V457" s="8"/>
      <c r="W457" s="8" t="s">
        <v>2343</v>
      </c>
      <c r="X457" s="8"/>
      <c r="Y457" s="8"/>
      <c r="Z457" s="8"/>
      <c r="AA457" s="8">
        <v>8765</v>
      </c>
      <c r="AB457" s="8"/>
      <c r="AC457" t="str">
        <f t="shared" si="40"/>
        <v/>
      </c>
      <c r="AE457" t="str">
        <f t="shared" si="41"/>
        <v/>
      </c>
      <c r="AI457" t="str">
        <f t="shared" si="42"/>
        <v/>
      </c>
      <c r="AJ457" t="str">
        <f t="shared" si="43"/>
        <v/>
      </c>
      <c r="AN457" t="str">
        <f>IF(AM457&lt;&gt;"",CONCATENATE(AC457," &amp; ",SUBSTITUTE(AJ457,","," ")," &amp; ",SUBSTITUTE(AF457,"."," ")," &amp; ",AL457," &amp; ",AM457," \\"),"")</f>
        <v/>
      </c>
    </row>
    <row r="458" spans="1:40" x14ac:dyDescent="0.2">
      <c r="A458" t="s">
        <v>750</v>
      </c>
      <c r="B458" t="s">
        <v>429</v>
      </c>
      <c r="C458">
        <v>0</v>
      </c>
      <c r="D458" t="s">
        <v>751</v>
      </c>
      <c r="E458" t="s">
        <v>752</v>
      </c>
      <c r="F458" t="s">
        <v>8</v>
      </c>
      <c r="G458" t="s">
        <v>2215</v>
      </c>
      <c r="H458" t="s">
        <v>830</v>
      </c>
      <c r="I458" t="s">
        <v>1952</v>
      </c>
      <c r="J458" t="s">
        <v>1113</v>
      </c>
      <c r="K458" t="s">
        <v>853</v>
      </c>
      <c r="L458" t="s">
        <v>952</v>
      </c>
      <c r="M458" s="1" t="s">
        <v>2596</v>
      </c>
      <c r="N458">
        <v>2008</v>
      </c>
      <c r="O458" t="s">
        <v>830</v>
      </c>
      <c r="P458" t="s">
        <v>2213</v>
      </c>
      <c r="Q458" s="4" t="s">
        <v>830</v>
      </c>
      <c r="R458" t="s">
        <v>830</v>
      </c>
      <c r="S458" t="s">
        <v>954</v>
      </c>
      <c r="T458" t="s">
        <v>830</v>
      </c>
      <c r="U458" t="s">
        <v>830</v>
      </c>
      <c r="W458" t="s">
        <v>2250</v>
      </c>
      <c r="X458" t="s">
        <v>2211</v>
      </c>
      <c r="Y458" t="s">
        <v>830</v>
      </c>
      <c r="Z458">
        <v>2</v>
      </c>
      <c r="AA458">
        <v>56</v>
      </c>
      <c r="AB458">
        <v>10</v>
      </c>
      <c r="AC458" t="str">
        <f t="shared" si="40"/>
        <v>WOCGOK</v>
      </c>
      <c r="AD458" t="s">
        <v>3104</v>
      </c>
      <c r="AE458" t="str">
        <f t="shared" si="41"/>
        <v>5fluoroisatin</v>
      </c>
      <c r="AF458" t="s">
        <v>3121</v>
      </c>
      <c r="AG458" s="15" t="s">
        <v>2925</v>
      </c>
      <c r="AH458" t="s">
        <v>3061</v>
      </c>
      <c r="AI458" t="str">
        <f t="shared" si="42"/>
        <v>CSD,version,6.01</v>
      </c>
      <c r="AJ458" t="str">
        <f t="shared" si="43"/>
        <v>C8,H4,N1,O2,F1</v>
      </c>
      <c r="AL458">
        <v>1</v>
      </c>
      <c r="AM458">
        <v>1</v>
      </c>
      <c r="AN458" t="str">
        <f>IF(AM458&lt;&gt;"",CONCATENATE(AC458," &amp; \ce{",SUBSTITUTE(AJ458,","," "),"} &amp; ",SUBSTITUTE(AF458,"."," ")," &amp; ",AL458," &amp; ",AM458," \\"),"")</f>
        <v>WOCGOK &amp; \ce{C8 H4 N1 O2 F1} &amp; 5-fluoroisatin &amp; 1 &amp; 1 \\</v>
      </c>
    </row>
    <row r="459" spans="1:40" x14ac:dyDescent="0.2">
      <c r="A459" t="s">
        <v>753</v>
      </c>
      <c r="B459" t="s">
        <v>754</v>
      </c>
      <c r="C459">
        <v>10</v>
      </c>
      <c r="D459" t="s">
        <v>755</v>
      </c>
      <c r="E459" t="s">
        <v>756</v>
      </c>
      <c r="F459" t="s">
        <v>757</v>
      </c>
      <c r="G459" t="s">
        <v>753</v>
      </c>
      <c r="H459" t="s">
        <v>830</v>
      </c>
      <c r="I459" t="s">
        <v>1543</v>
      </c>
      <c r="J459" t="s">
        <v>1428</v>
      </c>
      <c r="K459" t="s">
        <v>851</v>
      </c>
      <c r="L459" t="s">
        <v>1544</v>
      </c>
      <c r="M459" t="s">
        <v>887</v>
      </c>
      <c r="N459">
        <v>2013</v>
      </c>
      <c r="O459" t="s">
        <v>830</v>
      </c>
      <c r="P459" t="s">
        <v>887</v>
      </c>
      <c r="Q459" t="s">
        <v>830</v>
      </c>
      <c r="T459" t="s">
        <v>830</v>
      </c>
      <c r="U459" t="s">
        <v>830</v>
      </c>
      <c r="W459" t="s">
        <v>2861</v>
      </c>
      <c r="X459" t="s">
        <v>2864</v>
      </c>
      <c r="Y459" t="s">
        <v>830</v>
      </c>
      <c r="Z459">
        <v>1</v>
      </c>
      <c r="AA459">
        <v>523</v>
      </c>
      <c r="AB459">
        <v>76.156999999999996</v>
      </c>
      <c r="AC459" t="str">
        <f t="shared" si="40"/>
        <v>WOQDAH</v>
      </c>
      <c r="AD459" t="s">
        <v>757</v>
      </c>
      <c r="AE459" t="str">
        <f t="shared" si="41"/>
        <v>Salsalate</v>
      </c>
      <c r="AF459" t="str">
        <f>AE459</f>
        <v>Salsalate</v>
      </c>
      <c r="AG459" s="15" t="s">
        <v>2887</v>
      </c>
      <c r="AH459" t="s">
        <v>2888</v>
      </c>
      <c r="AI459" t="str">
        <f t="shared" si="42"/>
        <v>CSD,version,5.45</v>
      </c>
      <c r="AJ459" t="str">
        <f t="shared" si="43"/>
        <v>C14,H10,O5</v>
      </c>
      <c r="AL459">
        <v>1</v>
      </c>
      <c r="AM459">
        <v>2</v>
      </c>
      <c r="AN459" t="str">
        <f>IF(AM459&lt;&gt;"",CONCATENATE(AC459," &amp; \ce{",SUBSTITUTE(AJ459,","," "),"} &amp; ",SUBSTITUTE(AF459,"."," ")," &amp; ",AL459," &amp; ",AM459," \\"),"")</f>
        <v>WOQDAH &amp; \ce{C14 H10 O5} &amp; Salsalate &amp; 1 &amp; 2 \\</v>
      </c>
    </row>
    <row r="460" spans="1:40" x14ac:dyDescent="0.2">
      <c r="A460" t="s">
        <v>753</v>
      </c>
      <c r="B460" t="s">
        <v>754</v>
      </c>
      <c r="C460">
        <v>30</v>
      </c>
      <c r="D460" t="s">
        <v>755</v>
      </c>
      <c r="E460" t="s">
        <v>756</v>
      </c>
      <c r="F460" t="s">
        <v>757</v>
      </c>
      <c r="G460" t="s">
        <v>753</v>
      </c>
      <c r="H460" t="s">
        <v>830</v>
      </c>
      <c r="I460" t="s">
        <v>1543</v>
      </c>
      <c r="J460" t="s">
        <v>1429</v>
      </c>
      <c r="K460" t="s">
        <v>851</v>
      </c>
      <c r="L460" t="s">
        <v>1527</v>
      </c>
      <c r="M460" s="2" t="s">
        <v>2512</v>
      </c>
      <c r="N460">
        <v>2013</v>
      </c>
      <c r="O460" t="s">
        <v>830</v>
      </c>
      <c r="P460" t="s">
        <v>2863</v>
      </c>
      <c r="Q460" t="s">
        <v>830</v>
      </c>
      <c r="T460" t="s">
        <v>830</v>
      </c>
      <c r="U460" t="s">
        <v>830</v>
      </c>
      <c r="W460" t="s">
        <v>2861</v>
      </c>
      <c r="X460" t="s">
        <v>2865</v>
      </c>
      <c r="Y460" t="s">
        <v>830</v>
      </c>
      <c r="Z460">
        <v>1</v>
      </c>
      <c r="AA460">
        <v>508</v>
      </c>
      <c r="AB460">
        <v>62.551000000000002</v>
      </c>
      <c r="AC460" t="str">
        <f t="shared" si="40"/>
        <v/>
      </c>
      <c r="AE460" t="str">
        <f t="shared" si="41"/>
        <v/>
      </c>
      <c r="AI460" t="str">
        <f t="shared" si="42"/>
        <v/>
      </c>
      <c r="AJ460" t="str">
        <f t="shared" si="43"/>
        <v/>
      </c>
      <c r="AN460" t="str">
        <f>IF(AM460&lt;&gt;"",CONCATENATE(AC460," &amp; ",SUBSTITUTE(AJ460,","," ")," &amp; ",SUBSTITUTE(AF460,"."," ")," &amp; ",AL460," &amp; ",AM460," \\"),"")</f>
        <v/>
      </c>
    </row>
    <row r="461" spans="1:40" x14ac:dyDescent="0.2">
      <c r="A461" t="s">
        <v>758</v>
      </c>
      <c r="B461" t="s">
        <v>7</v>
      </c>
      <c r="C461">
        <v>10</v>
      </c>
      <c r="D461" t="s">
        <v>8</v>
      </c>
      <c r="E461" t="s">
        <v>759</v>
      </c>
      <c r="F461" t="s">
        <v>760</v>
      </c>
      <c r="G461" s="4" t="s">
        <v>2082</v>
      </c>
      <c r="H461" t="s">
        <v>830</v>
      </c>
      <c r="I461" t="s">
        <v>1952</v>
      </c>
      <c r="J461" t="s">
        <v>1299</v>
      </c>
      <c r="K461" t="s">
        <v>839</v>
      </c>
      <c r="L461" s="4" t="s">
        <v>2084</v>
      </c>
      <c r="M461" s="2" t="s">
        <v>2603</v>
      </c>
      <c r="N461">
        <v>2015</v>
      </c>
      <c r="O461" t="s">
        <v>830</v>
      </c>
      <c r="P461" t="s">
        <v>887</v>
      </c>
      <c r="Q461" t="s">
        <v>830</v>
      </c>
      <c r="R461" t="s">
        <v>830</v>
      </c>
      <c r="S461" t="s">
        <v>956</v>
      </c>
      <c r="T461" t="s">
        <v>830</v>
      </c>
      <c r="U461" t="s">
        <v>830</v>
      </c>
      <c r="W461" t="s">
        <v>2094</v>
      </c>
      <c r="X461" s="4" t="s">
        <v>2087</v>
      </c>
      <c r="Y461" s="4" t="s">
        <v>830</v>
      </c>
      <c r="Z461">
        <v>5</v>
      </c>
      <c r="AA461">
        <v>1032</v>
      </c>
      <c r="AB461">
        <v>83.766999999999996</v>
      </c>
      <c r="AC461" t="str">
        <f t="shared" si="40"/>
        <v>XAFPAY</v>
      </c>
      <c r="AD461" t="s">
        <v>2954</v>
      </c>
      <c r="AE461" t="str">
        <f t="shared" si="41"/>
        <v>BXXIII</v>
      </c>
      <c r="AF461" t="s">
        <v>2955</v>
      </c>
      <c r="AG461" s="15" t="s">
        <v>2894</v>
      </c>
      <c r="AH461" t="s">
        <v>3319</v>
      </c>
      <c r="AI461" t="str">
        <f t="shared" si="42"/>
        <v>CSD,version,6.01</v>
      </c>
      <c r="AJ461" t="str">
        <f t="shared" si="43"/>
        <v>C21,H17,N1,O2,Cl2</v>
      </c>
      <c r="AK461" s="4" t="s">
        <v>3059</v>
      </c>
      <c r="AL461">
        <v>2</v>
      </c>
      <c r="AM461">
        <v>9</v>
      </c>
      <c r="AN461" t="str">
        <f>IF(AM461&lt;&gt;"",CONCATENATE(AC461," &amp; \ce{",SUBSTITUTE(AJ461,","," "),"} &amp; ",SUBSTITUTE(AF461,"."," ")," &amp; ",AL461," &amp; ",AM461," \\"),"")</f>
        <v>XAFPAY &amp; \ce{C21 H17 N1 O2 Cl2} &amp; Blind Test XXIII (XAFPAY) &amp; 2 &amp; 9 \\</v>
      </c>
    </row>
    <row r="462" spans="1:40" x14ac:dyDescent="0.2">
      <c r="A462" t="s">
        <v>758</v>
      </c>
      <c r="B462" t="s">
        <v>7</v>
      </c>
      <c r="C462">
        <v>11</v>
      </c>
      <c r="D462" t="s">
        <v>8</v>
      </c>
      <c r="E462" t="s">
        <v>759</v>
      </c>
      <c r="F462" t="s">
        <v>760</v>
      </c>
      <c r="G462" s="4" t="s">
        <v>2082</v>
      </c>
      <c r="H462" t="s">
        <v>830</v>
      </c>
      <c r="I462" t="s">
        <v>957</v>
      </c>
      <c r="J462" t="s">
        <v>1300</v>
      </c>
      <c r="K462" t="s">
        <v>839</v>
      </c>
      <c r="L462" s="4" t="s">
        <v>2005</v>
      </c>
      <c r="M462" t="s">
        <v>902</v>
      </c>
      <c r="N462">
        <v>2015</v>
      </c>
      <c r="O462" t="s">
        <v>830</v>
      </c>
      <c r="P462" t="s">
        <v>887</v>
      </c>
      <c r="Q462" t="s">
        <v>830</v>
      </c>
      <c r="T462" t="s">
        <v>830</v>
      </c>
      <c r="U462" t="s">
        <v>830</v>
      </c>
      <c r="W462" t="s">
        <v>2094</v>
      </c>
      <c r="X462" s="4" t="s">
        <v>2089</v>
      </c>
      <c r="Y462" s="4" t="s">
        <v>830</v>
      </c>
      <c r="Z462">
        <v>1</v>
      </c>
      <c r="AA462">
        <v>50</v>
      </c>
      <c r="AB462">
        <v>14.576000000000001</v>
      </c>
      <c r="AC462" t="str">
        <f t="shared" si="40"/>
        <v/>
      </c>
      <c r="AE462" t="str">
        <f t="shared" si="41"/>
        <v/>
      </c>
      <c r="AI462" t="str">
        <f t="shared" si="42"/>
        <v/>
      </c>
      <c r="AJ462" t="str">
        <f t="shared" si="43"/>
        <v/>
      </c>
      <c r="AN462" t="str">
        <f t="shared" ref="AN462:AN469" si="44">IF(AM462&lt;&gt;"",CONCATENATE(AC462," &amp; ",SUBSTITUTE(AJ462,","," ")," &amp; ",SUBSTITUTE(AF462,"."," ")," &amp; ",AL462," &amp; ",AM462," \\"),"")</f>
        <v/>
      </c>
    </row>
    <row r="463" spans="1:40" x14ac:dyDescent="0.2">
      <c r="A463" t="s">
        <v>758</v>
      </c>
      <c r="B463" t="s">
        <v>7</v>
      </c>
      <c r="C463">
        <v>12</v>
      </c>
      <c r="D463" t="s">
        <v>8</v>
      </c>
      <c r="E463" t="s">
        <v>759</v>
      </c>
      <c r="F463" t="s">
        <v>760</v>
      </c>
      <c r="G463" s="4" t="s">
        <v>2082</v>
      </c>
      <c r="H463" t="s">
        <v>830</v>
      </c>
      <c r="I463" t="s">
        <v>957</v>
      </c>
      <c r="J463" t="s">
        <v>1301</v>
      </c>
      <c r="K463" t="s">
        <v>839</v>
      </c>
      <c r="L463" s="4" t="s">
        <v>2005</v>
      </c>
      <c r="M463" t="s">
        <v>902</v>
      </c>
      <c r="N463">
        <v>2015</v>
      </c>
      <c r="O463" t="s">
        <v>830</v>
      </c>
      <c r="P463" t="s">
        <v>887</v>
      </c>
      <c r="Q463" t="s">
        <v>830</v>
      </c>
      <c r="T463" t="s">
        <v>830</v>
      </c>
      <c r="U463" t="s">
        <v>830</v>
      </c>
      <c r="W463" t="s">
        <v>2094</v>
      </c>
      <c r="X463" s="4" t="s">
        <v>2090</v>
      </c>
      <c r="Y463" s="4" t="s">
        <v>830</v>
      </c>
      <c r="Z463">
        <v>1</v>
      </c>
      <c r="AA463">
        <v>50</v>
      </c>
      <c r="AB463">
        <v>8.8010000000000002</v>
      </c>
      <c r="AC463" t="str">
        <f t="shared" si="40"/>
        <v/>
      </c>
      <c r="AE463" t="str">
        <f t="shared" si="41"/>
        <v/>
      </c>
      <c r="AI463" t="str">
        <f t="shared" si="42"/>
        <v/>
      </c>
      <c r="AJ463" t="str">
        <f t="shared" si="43"/>
        <v/>
      </c>
      <c r="AN463" t="str">
        <f t="shared" si="44"/>
        <v/>
      </c>
    </row>
    <row r="464" spans="1:40" x14ac:dyDescent="0.2">
      <c r="A464" t="s">
        <v>758</v>
      </c>
      <c r="B464" t="s">
        <v>7</v>
      </c>
      <c r="C464">
        <v>13</v>
      </c>
      <c r="D464" t="s">
        <v>8</v>
      </c>
      <c r="E464" t="s">
        <v>759</v>
      </c>
      <c r="F464" t="s">
        <v>760</v>
      </c>
      <c r="G464" s="4" t="s">
        <v>2082</v>
      </c>
      <c r="H464" t="s">
        <v>830</v>
      </c>
      <c r="I464" t="s">
        <v>957</v>
      </c>
      <c r="J464" t="s">
        <v>1302</v>
      </c>
      <c r="K464" t="s">
        <v>839</v>
      </c>
      <c r="L464" s="4" t="s">
        <v>2005</v>
      </c>
      <c r="M464" t="s">
        <v>902</v>
      </c>
      <c r="N464">
        <v>2015</v>
      </c>
      <c r="O464" t="s">
        <v>830</v>
      </c>
      <c r="P464" t="s">
        <v>887</v>
      </c>
      <c r="Q464" t="s">
        <v>830</v>
      </c>
      <c r="T464" t="s">
        <v>830</v>
      </c>
      <c r="U464" t="s">
        <v>830</v>
      </c>
      <c r="W464" t="s">
        <v>2094</v>
      </c>
      <c r="X464" s="4" t="s">
        <v>2091</v>
      </c>
      <c r="Y464" s="4" t="s">
        <v>830</v>
      </c>
      <c r="Z464">
        <v>1</v>
      </c>
      <c r="AA464">
        <v>44</v>
      </c>
      <c r="AB464">
        <v>15.696999999999999</v>
      </c>
      <c r="AC464" t="str">
        <f t="shared" si="40"/>
        <v/>
      </c>
      <c r="AE464" t="str">
        <f t="shared" si="41"/>
        <v/>
      </c>
      <c r="AI464" t="str">
        <f t="shared" si="42"/>
        <v/>
      </c>
      <c r="AJ464" t="str">
        <f t="shared" si="43"/>
        <v/>
      </c>
      <c r="AN464" t="str">
        <f t="shared" si="44"/>
        <v/>
      </c>
    </row>
    <row r="465" spans="1:40" x14ac:dyDescent="0.2">
      <c r="A465" t="s">
        <v>758</v>
      </c>
      <c r="B465" t="s">
        <v>7</v>
      </c>
      <c r="C465">
        <v>14</v>
      </c>
      <c r="D465" t="s">
        <v>8</v>
      </c>
      <c r="E465" t="s">
        <v>759</v>
      </c>
      <c r="F465" t="s">
        <v>760</v>
      </c>
      <c r="G465" s="4" t="s">
        <v>2082</v>
      </c>
      <c r="H465" t="s">
        <v>830</v>
      </c>
      <c r="I465" t="s">
        <v>957</v>
      </c>
      <c r="J465" t="s">
        <v>1297</v>
      </c>
      <c r="K465" t="s">
        <v>839</v>
      </c>
      <c r="L465" s="4" t="s">
        <v>2005</v>
      </c>
      <c r="M465" t="s">
        <v>902</v>
      </c>
      <c r="N465">
        <v>2015</v>
      </c>
      <c r="O465" t="s">
        <v>830</v>
      </c>
      <c r="P465" t="s">
        <v>887</v>
      </c>
      <c r="Q465" t="s">
        <v>830</v>
      </c>
      <c r="T465" t="s">
        <v>830</v>
      </c>
      <c r="U465" t="s">
        <v>830</v>
      </c>
      <c r="W465" t="s">
        <v>2094</v>
      </c>
      <c r="X465" s="4" t="s">
        <v>2092</v>
      </c>
      <c r="Y465" s="4" t="s">
        <v>830</v>
      </c>
      <c r="Z465">
        <v>1</v>
      </c>
      <c r="AA465">
        <v>45</v>
      </c>
      <c r="AB465">
        <v>41.265999999999998</v>
      </c>
      <c r="AC465" t="str">
        <f t="shared" si="40"/>
        <v/>
      </c>
      <c r="AE465" t="str">
        <f t="shared" si="41"/>
        <v/>
      </c>
      <c r="AI465" t="str">
        <f t="shared" si="42"/>
        <v/>
      </c>
      <c r="AJ465" t="str">
        <f t="shared" si="43"/>
        <v/>
      </c>
      <c r="AN465" t="str">
        <f t="shared" si="44"/>
        <v/>
      </c>
    </row>
    <row r="466" spans="1:40" x14ac:dyDescent="0.2">
      <c r="A466" t="s">
        <v>758</v>
      </c>
      <c r="B466" t="s">
        <v>7</v>
      </c>
      <c r="C466">
        <v>15</v>
      </c>
      <c r="D466" t="s">
        <v>8</v>
      </c>
      <c r="E466" t="s">
        <v>759</v>
      </c>
      <c r="F466" t="s">
        <v>760</v>
      </c>
      <c r="G466" s="4" t="s">
        <v>2082</v>
      </c>
      <c r="H466" t="s">
        <v>830</v>
      </c>
      <c r="I466" t="s">
        <v>957</v>
      </c>
      <c r="J466" t="s">
        <v>1298</v>
      </c>
      <c r="K466" t="s">
        <v>839</v>
      </c>
      <c r="L466" s="4" t="s">
        <v>2005</v>
      </c>
      <c r="M466" t="s">
        <v>902</v>
      </c>
      <c r="N466">
        <v>2015</v>
      </c>
      <c r="O466" t="s">
        <v>830</v>
      </c>
      <c r="P466" t="s">
        <v>887</v>
      </c>
      <c r="Q466" t="s">
        <v>830</v>
      </c>
      <c r="T466" t="s">
        <v>830</v>
      </c>
      <c r="U466" t="s">
        <v>830</v>
      </c>
      <c r="W466" t="s">
        <v>2094</v>
      </c>
      <c r="X466" s="4" t="s">
        <v>2093</v>
      </c>
      <c r="Y466" s="4" t="s">
        <v>830</v>
      </c>
      <c r="Z466">
        <v>1</v>
      </c>
      <c r="AA466">
        <v>45</v>
      </c>
      <c r="AB466">
        <v>41.235999999999997</v>
      </c>
      <c r="AC466" t="str">
        <f t="shared" si="40"/>
        <v/>
      </c>
      <c r="AE466" t="str">
        <f t="shared" si="41"/>
        <v/>
      </c>
      <c r="AI466" t="str">
        <f t="shared" si="42"/>
        <v/>
      </c>
      <c r="AJ466" t="str">
        <f t="shared" si="43"/>
        <v/>
      </c>
      <c r="AN466" t="str">
        <f t="shared" si="44"/>
        <v/>
      </c>
    </row>
    <row r="467" spans="1:40" x14ac:dyDescent="0.2">
      <c r="A467" t="s">
        <v>758</v>
      </c>
      <c r="B467" t="s">
        <v>7</v>
      </c>
      <c r="C467">
        <v>20</v>
      </c>
      <c r="D467" t="s">
        <v>8</v>
      </c>
      <c r="E467" t="s">
        <v>759</v>
      </c>
      <c r="F467" t="s">
        <v>760</v>
      </c>
      <c r="G467" s="4" t="s">
        <v>2082</v>
      </c>
      <c r="H467" t="s">
        <v>830</v>
      </c>
      <c r="I467" t="s">
        <v>957</v>
      </c>
      <c r="J467" t="s">
        <v>1303</v>
      </c>
      <c r="K467" t="s">
        <v>839</v>
      </c>
      <c r="L467" s="4" t="s">
        <v>2085</v>
      </c>
      <c r="M467" t="s">
        <v>902</v>
      </c>
      <c r="N467">
        <v>2015</v>
      </c>
      <c r="O467" t="s">
        <v>830</v>
      </c>
      <c r="P467" t="s">
        <v>887</v>
      </c>
      <c r="Q467" t="s">
        <v>830</v>
      </c>
      <c r="T467" t="s">
        <v>830</v>
      </c>
      <c r="U467" t="s">
        <v>830</v>
      </c>
      <c r="W467" t="s">
        <v>2094</v>
      </c>
      <c r="X467" s="4" t="s">
        <v>2095</v>
      </c>
      <c r="Y467" t="s">
        <v>830</v>
      </c>
      <c r="Z467">
        <v>2</v>
      </c>
      <c r="AA467">
        <f>2663+3+4432+1+8542+1+12547</f>
        <v>28189</v>
      </c>
      <c r="AB467">
        <v>40</v>
      </c>
      <c r="AC467" t="str">
        <f t="shared" si="40"/>
        <v/>
      </c>
      <c r="AE467" t="str">
        <f t="shared" si="41"/>
        <v/>
      </c>
      <c r="AI467" t="str">
        <f t="shared" si="42"/>
        <v/>
      </c>
      <c r="AJ467" t="str">
        <f t="shared" si="43"/>
        <v/>
      </c>
      <c r="AN467" t="str">
        <f t="shared" si="44"/>
        <v/>
      </c>
    </row>
    <row r="468" spans="1:40" x14ac:dyDescent="0.2">
      <c r="A468" t="s">
        <v>758</v>
      </c>
      <c r="B468" t="s">
        <v>7</v>
      </c>
      <c r="C468">
        <v>30</v>
      </c>
      <c r="D468" t="s">
        <v>8</v>
      </c>
      <c r="E468" t="s">
        <v>759</v>
      </c>
      <c r="F468" t="s">
        <v>760</v>
      </c>
      <c r="G468" s="4" t="s">
        <v>2082</v>
      </c>
      <c r="H468" t="s">
        <v>830</v>
      </c>
      <c r="I468" t="s">
        <v>957</v>
      </c>
      <c r="J468" t="s">
        <v>1304</v>
      </c>
      <c r="K468" t="s">
        <v>839</v>
      </c>
      <c r="L468" s="4" t="s">
        <v>1484</v>
      </c>
      <c r="M468" s="2" t="s">
        <v>2604</v>
      </c>
      <c r="N468">
        <v>2015</v>
      </c>
      <c r="O468" t="s">
        <v>830</v>
      </c>
      <c r="P468" t="s">
        <v>2096</v>
      </c>
      <c r="Q468" t="s">
        <v>830</v>
      </c>
      <c r="T468" t="s">
        <v>830</v>
      </c>
      <c r="U468" t="s">
        <v>830</v>
      </c>
      <c r="W468" t="s">
        <v>2094</v>
      </c>
      <c r="X468" s="4" t="s">
        <v>2088</v>
      </c>
      <c r="Y468" t="s">
        <v>830</v>
      </c>
      <c r="Z468">
        <v>5</v>
      </c>
      <c r="AA468">
        <v>1011</v>
      </c>
      <c r="AB468">
        <v>30</v>
      </c>
      <c r="AC468" t="str">
        <f t="shared" si="40"/>
        <v/>
      </c>
      <c r="AE468" t="str">
        <f t="shared" si="41"/>
        <v/>
      </c>
      <c r="AI468" t="str">
        <f t="shared" si="42"/>
        <v/>
      </c>
      <c r="AJ468" t="str">
        <f t="shared" si="43"/>
        <v/>
      </c>
      <c r="AK468" s="8"/>
      <c r="AL468" s="8"/>
      <c r="AM468" s="8"/>
      <c r="AN468" t="str">
        <f t="shared" si="44"/>
        <v/>
      </c>
    </row>
    <row r="469" spans="1:40" x14ac:dyDescent="0.2">
      <c r="A469" t="s">
        <v>758</v>
      </c>
      <c r="B469" t="s">
        <v>7</v>
      </c>
      <c r="C469">
        <v>60</v>
      </c>
      <c r="D469" t="s">
        <v>8</v>
      </c>
      <c r="E469" t="s">
        <v>759</v>
      </c>
      <c r="F469" t="s">
        <v>760</v>
      </c>
      <c r="G469" s="4" t="s">
        <v>2082</v>
      </c>
      <c r="H469" t="s">
        <v>830</v>
      </c>
      <c r="I469" t="s">
        <v>957</v>
      </c>
      <c r="J469" t="s">
        <v>1381</v>
      </c>
      <c r="K469" t="s">
        <v>842</v>
      </c>
      <c r="L469" s="4" t="s">
        <v>2083</v>
      </c>
      <c r="M469" s="2" t="s">
        <v>888</v>
      </c>
      <c r="N469">
        <v>2018</v>
      </c>
      <c r="O469" t="s">
        <v>830</v>
      </c>
      <c r="P469" t="s">
        <v>887</v>
      </c>
      <c r="Q469" t="s">
        <v>830</v>
      </c>
      <c r="T469" t="s">
        <v>830</v>
      </c>
      <c r="U469" t="s">
        <v>830</v>
      </c>
      <c r="W469" t="s">
        <v>2094</v>
      </c>
      <c r="X469" s="4" t="s">
        <v>2086</v>
      </c>
      <c r="Y469" t="s">
        <v>830</v>
      </c>
      <c r="Z469">
        <v>4</v>
      </c>
      <c r="AA469">
        <v>1230</v>
      </c>
      <c r="AB469">
        <v>20</v>
      </c>
      <c r="AC469" t="str">
        <f t="shared" si="40"/>
        <v/>
      </c>
      <c r="AE469" t="str">
        <f t="shared" si="41"/>
        <v/>
      </c>
      <c r="AI469" t="str">
        <f t="shared" si="42"/>
        <v/>
      </c>
      <c r="AJ469" t="str">
        <f t="shared" si="43"/>
        <v/>
      </c>
      <c r="AN469" t="str">
        <f t="shared" si="44"/>
        <v/>
      </c>
    </row>
    <row r="470" spans="1:40" ht="15" x14ac:dyDescent="0.25">
      <c r="A470" t="s">
        <v>761</v>
      </c>
      <c r="B470" s="17" t="s">
        <v>3048</v>
      </c>
      <c r="C470">
        <v>10</v>
      </c>
      <c r="D470" t="s">
        <v>762</v>
      </c>
      <c r="E470" t="s">
        <v>763</v>
      </c>
      <c r="F470" t="s">
        <v>8</v>
      </c>
      <c r="G470" s="4" t="s">
        <v>2139</v>
      </c>
      <c r="H470" s="4" t="s">
        <v>830</v>
      </c>
      <c r="I470" t="s">
        <v>1952</v>
      </c>
      <c r="J470" t="s">
        <v>1305</v>
      </c>
      <c r="K470" t="s">
        <v>862</v>
      </c>
      <c r="L470" t="s">
        <v>2138</v>
      </c>
      <c r="M470" t="s">
        <v>2141</v>
      </c>
      <c r="N470">
        <v>2015</v>
      </c>
      <c r="O470" t="s">
        <v>830</v>
      </c>
      <c r="P470" s="4" t="s">
        <v>887</v>
      </c>
      <c r="Q470" s="4" t="s">
        <v>830</v>
      </c>
      <c r="T470" t="s">
        <v>830</v>
      </c>
      <c r="U470" t="s">
        <v>830</v>
      </c>
      <c r="W470" t="s">
        <v>2250</v>
      </c>
      <c r="X470" s="4" t="s">
        <v>2150</v>
      </c>
      <c r="Y470" s="4" t="s">
        <v>830</v>
      </c>
      <c r="Z470">
        <v>1</v>
      </c>
      <c r="AA470">
        <v>3189</v>
      </c>
      <c r="AB470">
        <v>45.106000000000002</v>
      </c>
      <c r="AC470" t="str">
        <f t="shared" si="40"/>
        <v>XAFQAZ</v>
      </c>
      <c r="AD470" t="s">
        <v>2963</v>
      </c>
      <c r="AE470" t="str">
        <f t="shared" si="41"/>
        <v>BTXXVC</v>
      </c>
      <c r="AF470" t="s">
        <v>2962</v>
      </c>
      <c r="AG470" s="15" t="s">
        <v>2925</v>
      </c>
      <c r="AH470" t="s">
        <v>2888</v>
      </c>
      <c r="AI470" t="str">
        <f t="shared" si="42"/>
        <v>CSD,version,6.01</v>
      </c>
      <c r="AJ470" t="str">
        <f t="shared" si="43"/>
        <v>C17,H18,N2,.,C7,H4,N2,O6</v>
      </c>
      <c r="AK470" s="4" t="s">
        <v>3059</v>
      </c>
      <c r="AL470">
        <v>1</v>
      </c>
      <c r="AM470">
        <v>3</v>
      </c>
      <c r="AN470" t="str">
        <f>IF(AM470&lt;&gt;"",CONCATENATE(AC470," &amp; \ce{",SUBSTITUTE(AJ470,","," "),"} &amp; ",SUBSTITUTE(AF470,"."," ")," &amp; ",AL470," &amp; ",AM470," \\"),"")</f>
        <v>XAFQAZ &amp; \ce{C17 H18 N2 . C7 H4 N2 O6} &amp; Blind Test XXV Cocrystal (XAFQAZ) &amp; 1 &amp; 3 \\</v>
      </c>
    </row>
    <row r="471" spans="1:40" s="8" customFormat="1" ht="15" x14ac:dyDescent="0.25">
      <c r="A471" t="s">
        <v>761</v>
      </c>
      <c r="B471" s="17" t="s">
        <v>3048</v>
      </c>
      <c r="C471">
        <v>20</v>
      </c>
      <c r="D471" t="s">
        <v>762</v>
      </c>
      <c r="E471" t="s">
        <v>763</v>
      </c>
      <c r="F471" t="s">
        <v>8</v>
      </c>
      <c r="G471" s="4" t="s">
        <v>2139</v>
      </c>
      <c r="H471" s="4" t="s">
        <v>830</v>
      </c>
      <c r="I471" t="s">
        <v>1952</v>
      </c>
      <c r="J471" t="s">
        <v>1306</v>
      </c>
      <c r="K471" t="s">
        <v>862</v>
      </c>
      <c r="L471" s="4" t="s">
        <v>2140</v>
      </c>
      <c r="M471" t="s">
        <v>902</v>
      </c>
      <c r="N471">
        <v>2015</v>
      </c>
      <c r="O471" t="s">
        <v>830</v>
      </c>
      <c r="P471" s="4" t="s">
        <v>887</v>
      </c>
      <c r="Q471" s="4" t="s">
        <v>830</v>
      </c>
      <c r="R471"/>
      <c r="S471"/>
      <c r="T471" t="s">
        <v>830</v>
      </c>
      <c r="U471" t="s">
        <v>830</v>
      </c>
      <c r="V471"/>
      <c r="W471" t="s">
        <v>2250</v>
      </c>
      <c r="X471" s="4" t="s">
        <v>2151</v>
      </c>
      <c r="Y471" s="4" t="s">
        <v>830</v>
      </c>
      <c r="Z471">
        <v>1</v>
      </c>
      <c r="AA471">
        <v>5584</v>
      </c>
      <c r="AB471">
        <v>40</v>
      </c>
      <c r="AC471" t="str">
        <f t="shared" si="40"/>
        <v/>
      </c>
      <c r="AD471"/>
      <c r="AE471" t="str">
        <f t="shared" si="41"/>
        <v/>
      </c>
      <c r="AF471"/>
      <c r="AG471" s="15"/>
      <c r="AH471"/>
      <c r="AI471" t="str">
        <f t="shared" si="42"/>
        <v/>
      </c>
      <c r="AJ471" t="str">
        <f t="shared" si="43"/>
        <v/>
      </c>
      <c r="AK471"/>
      <c r="AL471"/>
      <c r="AM471"/>
      <c r="AN471" t="str">
        <f>IF(AM471&lt;&gt;"",CONCATENATE(AC471," &amp; ",SUBSTITUTE(AJ471,","," ")," &amp; ",SUBSTITUTE(AF471,"."," ")," &amp; ",AL471," &amp; ",AM471," \\"),"")</f>
        <v/>
      </c>
    </row>
    <row r="472" spans="1:40" ht="15" x14ac:dyDescent="0.25">
      <c r="A472" t="s">
        <v>761</v>
      </c>
      <c r="B472" s="17" t="s">
        <v>3048</v>
      </c>
      <c r="C472">
        <v>30</v>
      </c>
      <c r="D472" t="s">
        <v>762</v>
      </c>
      <c r="E472" t="s">
        <v>763</v>
      </c>
      <c r="F472" t="s">
        <v>764</v>
      </c>
      <c r="G472" s="4" t="s">
        <v>2139</v>
      </c>
      <c r="H472" s="4" t="s">
        <v>830</v>
      </c>
      <c r="I472" t="s">
        <v>1952</v>
      </c>
      <c r="J472" t="s">
        <v>1307</v>
      </c>
      <c r="K472" t="s">
        <v>862</v>
      </c>
      <c r="L472" s="4" t="s">
        <v>1480</v>
      </c>
      <c r="M472" t="s">
        <v>2142</v>
      </c>
      <c r="N472">
        <v>2015</v>
      </c>
      <c r="O472" t="s">
        <v>830</v>
      </c>
      <c r="P472" s="4" t="s">
        <v>2137</v>
      </c>
      <c r="Q472" s="4" t="s">
        <v>830</v>
      </c>
      <c r="T472" t="s">
        <v>830</v>
      </c>
      <c r="U472" t="s">
        <v>830</v>
      </c>
      <c r="W472" t="s">
        <v>2250</v>
      </c>
      <c r="X472" s="4" t="s">
        <v>2152</v>
      </c>
      <c r="Y472" s="4" t="s">
        <v>830</v>
      </c>
      <c r="Z472">
        <v>1</v>
      </c>
      <c r="AA472">
        <v>785</v>
      </c>
      <c r="AB472">
        <v>44.771000000000001</v>
      </c>
      <c r="AC472" t="str">
        <f t="shared" si="40"/>
        <v/>
      </c>
      <c r="AE472" t="str">
        <f t="shared" si="41"/>
        <v/>
      </c>
      <c r="AI472" t="str">
        <f t="shared" si="42"/>
        <v/>
      </c>
      <c r="AJ472" t="str">
        <f t="shared" si="43"/>
        <v/>
      </c>
      <c r="AN472" t="str">
        <f>IF(AM472&lt;&gt;"",CONCATENATE(AC472," &amp; ",SUBSTITUTE(AJ472,","," ")," &amp; ",SUBSTITUTE(AF472,"."," ")," &amp; ",AL472," &amp; ",AM472," \\"),"")</f>
        <v/>
      </c>
    </row>
    <row r="473" spans="1:40" x14ac:dyDescent="0.2">
      <c r="A473" t="s">
        <v>765</v>
      </c>
      <c r="B473" t="s">
        <v>766</v>
      </c>
      <c r="C473">
        <v>10</v>
      </c>
      <c r="D473" t="s">
        <v>8</v>
      </c>
      <c r="E473" t="s">
        <v>767</v>
      </c>
      <c r="F473" t="s">
        <v>768</v>
      </c>
      <c r="G473" s="4" t="s">
        <v>765</v>
      </c>
      <c r="H473" t="s">
        <v>830</v>
      </c>
      <c r="I473" t="s">
        <v>1952</v>
      </c>
      <c r="J473" t="s">
        <v>1308</v>
      </c>
      <c r="K473" t="s">
        <v>842</v>
      </c>
      <c r="L473" s="4" t="s">
        <v>2155</v>
      </c>
      <c r="M473" t="s">
        <v>2141</v>
      </c>
      <c r="N473">
        <v>2015</v>
      </c>
      <c r="O473" t="s">
        <v>830</v>
      </c>
      <c r="P473" s="4" t="s">
        <v>887</v>
      </c>
      <c r="Q473" s="4" t="s">
        <v>830</v>
      </c>
      <c r="T473" t="s">
        <v>830</v>
      </c>
      <c r="U473" t="s">
        <v>830</v>
      </c>
      <c r="W473" t="s">
        <v>2250</v>
      </c>
      <c r="X473" s="4" t="s">
        <v>2160</v>
      </c>
      <c r="Y473" s="4" t="s">
        <v>830</v>
      </c>
      <c r="Z473">
        <v>1</v>
      </c>
      <c r="AA473">
        <v>902</v>
      </c>
      <c r="AB473">
        <v>37.08</v>
      </c>
      <c r="AC473" t="str">
        <f t="shared" si="40"/>
        <v>XAFQIH</v>
      </c>
      <c r="AD473" t="s">
        <v>2965</v>
      </c>
      <c r="AE473" t="str">
        <f t="shared" si="41"/>
        <v>BTXXVI</v>
      </c>
      <c r="AF473" t="s">
        <v>2964</v>
      </c>
      <c r="AG473" s="15" t="s">
        <v>2925</v>
      </c>
      <c r="AH473" t="s">
        <v>2966</v>
      </c>
      <c r="AI473" t="str">
        <f t="shared" si="42"/>
        <v>CSD,version,6.01</v>
      </c>
      <c r="AJ473" t="str">
        <f t="shared" si="43"/>
        <v>C34,H22,N2,O2,Cl2</v>
      </c>
      <c r="AK473" s="4" t="s">
        <v>3059</v>
      </c>
      <c r="AL473">
        <v>3</v>
      </c>
      <c r="AM473">
        <v>6</v>
      </c>
      <c r="AN473" t="str">
        <f>IF(AM473&lt;&gt;"",CONCATENATE(AC473," &amp; \ce{",SUBSTITUTE(AJ473,","," "),"} &amp; ",SUBSTITUTE(AF473,"."," ")," &amp; ",AL473," &amp; ",AM473," \\"),"")</f>
        <v>XAFQIH &amp; \ce{C34 H22 N2 O2 Cl2} &amp; Blind Test XXVI (XAFQIH) &amp; 3 &amp; 6 \\</v>
      </c>
    </row>
    <row r="474" spans="1:40" x14ac:dyDescent="0.2">
      <c r="A474" t="s">
        <v>765</v>
      </c>
      <c r="B474" t="s">
        <v>766</v>
      </c>
      <c r="C474">
        <v>11</v>
      </c>
      <c r="D474" t="s">
        <v>8</v>
      </c>
      <c r="E474" t="s">
        <v>767</v>
      </c>
      <c r="F474" t="s">
        <v>768</v>
      </c>
      <c r="G474" s="4" t="s">
        <v>765</v>
      </c>
      <c r="H474" t="s">
        <v>830</v>
      </c>
      <c r="I474" t="s">
        <v>1952</v>
      </c>
      <c r="J474" t="s">
        <v>1309</v>
      </c>
      <c r="K474" t="s">
        <v>842</v>
      </c>
      <c r="L474" s="4" t="s">
        <v>2154</v>
      </c>
      <c r="M474" t="s">
        <v>902</v>
      </c>
      <c r="N474">
        <v>2015</v>
      </c>
      <c r="O474" t="s">
        <v>830</v>
      </c>
      <c r="P474" s="4" t="s">
        <v>887</v>
      </c>
      <c r="Q474" s="4" t="s">
        <v>830</v>
      </c>
      <c r="T474" t="s">
        <v>830</v>
      </c>
      <c r="U474" t="s">
        <v>830</v>
      </c>
      <c r="W474" t="s">
        <v>2250</v>
      </c>
      <c r="X474" t="s">
        <v>2159</v>
      </c>
      <c r="Y474" t="s">
        <v>830</v>
      </c>
      <c r="Z474">
        <v>1</v>
      </c>
      <c r="AA474">
        <v>1305</v>
      </c>
      <c r="AB474">
        <v>30</v>
      </c>
      <c r="AC474" t="str">
        <f t="shared" si="40"/>
        <v/>
      </c>
      <c r="AE474" t="str">
        <f t="shared" si="41"/>
        <v/>
      </c>
      <c r="AI474" t="str">
        <f t="shared" si="42"/>
        <v/>
      </c>
      <c r="AJ474" t="str">
        <f t="shared" si="43"/>
        <v/>
      </c>
      <c r="AN474" t="str">
        <f>IF(AM474&lt;&gt;"",CONCATENATE(AC474," &amp; ",SUBSTITUTE(AJ474,","," ")," &amp; ",SUBSTITUTE(AF474,"."," ")," &amp; ",AL474," &amp; ",AM474," \\"),"")</f>
        <v/>
      </c>
    </row>
    <row r="475" spans="1:40" x14ac:dyDescent="0.2">
      <c r="A475" t="s">
        <v>765</v>
      </c>
      <c r="B475" t="s">
        <v>766</v>
      </c>
      <c r="C475">
        <v>12</v>
      </c>
      <c r="D475" t="s">
        <v>8</v>
      </c>
      <c r="E475" t="s">
        <v>767</v>
      </c>
      <c r="F475" t="s">
        <v>768</v>
      </c>
      <c r="G475" s="4" t="s">
        <v>765</v>
      </c>
      <c r="H475" t="s">
        <v>830</v>
      </c>
      <c r="I475" t="s">
        <v>1952</v>
      </c>
      <c r="J475" t="s">
        <v>1310</v>
      </c>
      <c r="K475" t="s">
        <v>842</v>
      </c>
      <c r="L475" s="4" t="s">
        <v>2156</v>
      </c>
      <c r="M475" t="s">
        <v>902</v>
      </c>
      <c r="N475">
        <v>2015</v>
      </c>
      <c r="O475" t="s">
        <v>830</v>
      </c>
      <c r="P475" s="4" t="s">
        <v>887</v>
      </c>
      <c r="Q475" s="4" t="s">
        <v>830</v>
      </c>
      <c r="T475" t="s">
        <v>830</v>
      </c>
      <c r="U475" t="s">
        <v>830</v>
      </c>
      <c r="W475" t="s">
        <v>2250</v>
      </c>
      <c r="X475" t="s">
        <v>2162</v>
      </c>
      <c r="Y475" t="s">
        <v>830</v>
      </c>
      <c r="Z475">
        <v>1</v>
      </c>
      <c r="AA475">
        <v>97</v>
      </c>
      <c r="AB475">
        <v>20</v>
      </c>
      <c r="AC475" t="str">
        <f t="shared" si="40"/>
        <v/>
      </c>
      <c r="AE475" t="str">
        <f t="shared" si="41"/>
        <v/>
      </c>
      <c r="AI475" t="str">
        <f t="shared" si="42"/>
        <v/>
      </c>
      <c r="AJ475" t="str">
        <f t="shared" si="43"/>
        <v/>
      </c>
      <c r="AN475" t="str">
        <f>IF(AM475&lt;&gt;"",CONCATENATE(AC475," &amp; ",SUBSTITUTE(AJ475,","," ")," &amp; ",SUBSTITUTE(AF475,"."," ")," &amp; ",AL475," &amp; ",AM475," \\"),"")</f>
        <v/>
      </c>
    </row>
    <row r="476" spans="1:40" x14ac:dyDescent="0.2">
      <c r="A476" t="s">
        <v>765</v>
      </c>
      <c r="B476" t="s">
        <v>766</v>
      </c>
      <c r="C476">
        <v>20</v>
      </c>
      <c r="D476" t="s">
        <v>8</v>
      </c>
      <c r="E476" t="s">
        <v>767</v>
      </c>
      <c r="F476" t="s">
        <v>768</v>
      </c>
      <c r="G476" s="4" t="s">
        <v>765</v>
      </c>
      <c r="H476" t="s">
        <v>830</v>
      </c>
      <c r="I476" t="s">
        <v>1952</v>
      </c>
      <c r="J476" t="s">
        <v>1311</v>
      </c>
      <c r="K476" t="s">
        <v>842</v>
      </c>
      <c r="L476" t="s">
        <v>2140</v>
      </c>
      <c r="M476" t="s">
        <v>902</v>
      </c>
      <c r="N476">
        <v>2015</v>
      </c>
      <c r="O476" t="s">
        <v>830</v>
      </c>
      <c r="P476" s="4" t="s">
        <v>887</v>
      </c>
      <c r="Q476" s="4" t="s">
        <v>830</v>
      </c>
      <c r="T476" t="s">
        <v>830</v>
      </c>
      <c r="U476" t="s">
        <v>830</v>
      </c>
      <c r="W476" t="s">
        <v>2250</v>
      </c>
      <c r="X476" t="s">
        <v>2158</v>
      </c>
      <c r="Y476" t="s">
        <v>830</v>
      </c>
      <c r="Z476">
        <v>1</v>
      </c>
      <c r="AA476">
        <f>3093+9+13123</f>
        <v>16225</v>
      </c>
      <c r="AB476">
        <v>65.8</v>
      </c>
      <c r="AC476" t="str">
        <f t="shared" si="40"/>
        <v/>
      </c>
      <c r="AE476" t="str">
        <f t="shared" si="41"/>
        <v/>
      </c>
      <c r="AI476" t="str">
        <f t="shared" si="42"/>
        <v/>
      </c>
      <c r="AJ476" t="str">
        <f t="shared" si="43"/>
        <v/>
      </c>
      <c r="AN476" t="str">
        <f>IF(AM476&lt;&gt;"",CONCATENATE(AC476," &amp; ",SUBSTITUTE(AJ476,","," ")," &amp; ",SUBSTITUTE(AF476,"."," ")," &amp; ",AL476," &amp; ",AM476," \\"),"")</f>
        <v/>
      </c>
    </row>
    <row r="477" spans="1:40" x14ac:dyDescent="0.2">
      <c r="A477" t="s">
        <v>765</v>
      </c>
      <c r="B477" t="s">
        <v>766</v>
      </c>
      <c r="C477">
        <v>30</v>
      </c>
      <c r="D477" t="s">
        <v>8</v>
      </c>
      <c r="E477" t="s">
        <v>767</v>
      </c>
      <c r="F477" t="s">
        <v>768</v>
      </c>
      <c r="G477" s="4" t="s">
        <v>765</v>
      </c>
      <c r="H477" t="s">
        <v>830</v>
      </c>
      <c r="I477" t="s">
        <v>1952</v>
      </c>
      <c r="J477" t="s">
        <v>1312</v>
      </c>
      <c r="K477" t="s">
        <v>842</v>
      </c>
      <c r="L477" s="4" t="s">
        <v>1484</v>
      </c>
      <c r="M477" t="s">
        <v>2142</v>
      </c>
      <c r="N477">
        <v>2015</v>
      </c>
      <c r="O477" t="s">
        <v>830</v>
      </c>
      <c r="P477" s="4" t="s">
        <v>2153</v>
      </c>
      <c r="Q477" s="4" t="s">
        <v>830</v>
      </c>
      <c r="T477" t="s">
        <v>830</v>
      </c>
      <c r="U477" t="s">
        <v>830</v>
      </c>
      <c r="W477" t="s">
        <v>2250</v>
      </c>
      <c r="X477" t="s">
        <v>2161</v>
      </c>
      <c r="Y477" t="s">
        <v>830</v>
      </c>
      <c r="Z477">
        <v>1</v>
      </c>
      <c r="AA477">
        <v>901</v>
      </c>
      <c r="AB477">
        <v>47.668999999999997</v>
      </c>
      <c r="AC477" t="str">
        <f t="shared" si="40"/>
        <v/>
      </c>
      <c r="AE477" t="str">
        <f t="shared" si="41"/>
        <v/>
      </c>
      <c r="AI477" t="str">
        <f t="shared" si="42"/>
        <v/>
      </c>
      <c r="AJ477" t="str">
        <f t="shared" si="43"/>
        <v/>
      </c>
      <c r="AN477" t="str">
        <f>IF(AM477&lt;&gt;"",CONCATENATE(AC477," &amp; ",SUBSTITUTE(AJ477,","," ")," &amp; ",SUBSTITUTE(AF477,"."," ")," &amp; ",AL477," &amp; ",AM477," \\"),"")</f>
        <v/>
      </c>
    </row>
    <row r="478" spans="1:40" x14ac:dyDescent="0.2">
      <c r="A478" t="s">
        <v>765</v>
      </c>
      <c r="B478" t="s">
        <v>766</v>
      </c>
      <c r="C478">
        <v>60</v>
      </c>
      <c r="D478" t="s">
        <v>8</v>
      </c>
      <c r="E478" t="s">
        <v>767</v>
      </c>
      <c r="F478" t="s">
        <v>768</v>
      </c>
      <c r="G478" s="4" t="s">
        <v>765</v>
      </c>
      <c r="H478" t="s">
        <v>830</v>
      </c>
      <c r="I478" t="s">
        <v>1952</v>
      </c>
      <c r="J478" t="s">
        <v>1382</v>
      </c>
      <c r="K478" t="s">
        <v>842</v>
      </c>
      <c r="L478" t="s">
        <v>2006</v>
      </c>
      <c r="M478" s="2" t="s">
        <v>888</v>
      </c>
      <c r="N478">
        <v>2018</v>
      </c>
      <c r="O478" t="s">
        <v>830</v>
      </c>
      <c r="P478" s="4" t="s">
        <v>887</v>
      </c>
      <c r="Q478" s="4" t="s">
        <v>830</v>
      </c>
      <c r="T478" t="s">
        <v>830</v>
      </c>
      <c r="U478" t="s">
        <v>830</v>
      </c>
      <c r="W478" t="s">
        <v>2250</v>
      </c>
      <c r="X478" t="s">
        <v>2157</v>
      </c>
      <c r="Y478" t="s">
        <v>830</v>
      </c>
      <c r="Z478">
        <v>1</v>
      </c>
      <c r="AA478">
        <v>186</v>
      </c>
      <c r="AB478">
        <v>20</v>
      </c>
      <c r="AC478" t="str">
        <f t="shared" si="40"/>
        <v/>
      </c>
      <c r="AE478" t="str">
        <f t="shared" si="41"/>
        <v/>
      </c>
      <c r="AI478" t="str">
        <f t="shared" si="42"/>
        <v/>
      </c>
      <c r="AJ478" t="str">
        <f t="shared" si="43"/>
        <v/>
      </c>
      <c r="AK478" s="8"/>
      <c r="AL478" s="8"/>
      <c r="AM478" s="8"/>
      <c r="AN478" t="str">
        <f>IF(AM478&lt;&gt;"",CONCATENATE(AC478," &amp; ",SUBSTITUTE(AJ478,","," ")," &amp; ",SUBSTITUTE(AF478,"."," ")," &amp; ",AL478," &amp; ",AM478," \\"),"")</f>
        <v/>
      </c>
    </row>
    <row r="479" spans="1:40" ht="15" x14ac:dyDescent="0.25">
      <c r="A479" t="s">
        <v>769</v>
      </c>
      <c r="B479" s="17" t="s">
        <v>3432</v>
      </c>
      <c r="C479">
        <v>10</v>
      </c>
      <c r="D479" t="s">
        <v>8</v>
      </c>
      <c r="E479" t="s">
        <v>770</v>
      </c>
      <c r="F479" t="s">
        <v>771</v>
      </c>
      <c r="G479" s="4" t="s">
        <v>769</v>
      </c>
      <c r="H479" t="s">
        <v>830</v>
      </c>
      <c r="I479" t="s">
        <v>1952</v>
      </c>
      <c r="J479" t="s">
        <v>1314</v>
      </c>
      <c r="K479" t="s">
        <v>847</v>
      </c>
      <c r="L479" t="s">
        <v>2164</v>
      </c>
      <c r="M479" t="s">
        <v>2141</v>
      </c>
      <c r="N479">
        <v>2015</v>
      </c>
      <c r="O479" t="s">
        <v>830</v>
      </c>
      <c r="P479" s="4" t="s">
        <v>2176</v>
      </c>
      <c r="Q479" s="4" t="s">
        <v>830</v>
      </c>
      <c r="T479" t="s">
        <v>830</v>
      </c>
      <c r="U479" t="s">
        <v>830</v>
      </c>
      <c r="W479" t="s">
        <v>2250</v>
      </c>
      <c r="X479" t="s">
        <v>2167</v>
      </c>
      <c r="Y479" t="s">
        <v>830</v>
      </c>
      <c r="Z479">
        <v>0</v>
      </c>
      <c r="AA479">
        <v>1000</v>
      </c>
      <c r="AB479">
        <v>31.239000000000001</v>
      </c>
      <c r="AC479" t="str">
        <f t="shared" si="40"/>
        <v>XAFQON</v>
      </c>
      <c r="AD479" t="s">
        <v>2958</v>
      </c>
      <c r="AE479" t="str">
        <f t="shared" si="41"/>
        <v>BTXXIV</v>
      </c>
      <c r="AF479" t="s">
        <v>2957</v>
      </c>
      <c r="AG479" s="15" t="s">
        <v>2925</v>
      </c>
      <c r="AH479" t="s">
        <v>2959</v>
      </c>
      <c r="AI479" t="str">
        <f t="shared" si="42"/>
        <v>CSD,version,6.01</v>
      </c>
      <c r="AJ479" t="str">
        <f t="shared" si="43"/>
        <v>C4,H7,N2,O2,S1,+,.,Cl,-,.,H2,O1</v>
      </c>
      <c r="AK479" s="4" t="s">
        <v>3059</v>
      </c>
      <c r="AL479">
        <v>1</v>
      </c>
      <c r="AM479">
        <v>7</v>
      </c>
      <c r="AN479" t="str">
        <f>IF(AM479&lt;&gt;"",CONCATENATE(AC479," &amp; \ce{",SUBSTITUTE(AJ479,","," "),"} &amp; ",SUBSTITUTE(AF479,"."," ")," &amp; ",AL479," &amp; ",AM479," \\"),"")</f>
        <v>XAFQON &amp; \ce{C4 H7 N2 O2 S1 + . Cl - . H2 O1} &amp; Blind Test XXIV (XAFQON) &amp; 1 &amp; 7 \\</v>
      </c>
    </row>
    <row r="480" spans="1:40" ht="12.75" customHeight="1" x14ac:dyDescent="0.25">
      <c r="A480" t="s">
        <v>769</v>
      </c>
      <c r="B480" s="17" t="s">
        <v>3432</v>
      </c>
      <c r="C480">
        <v>11</v>
      </c>
      <c r="D480" t="s">
        <v>8</v>
      </c>
      <c r="E480" t="s">
        <v>770</v>
      </c>
      <c r="F480" t="s">
        <v>771</v>
      </c>
      <c r="G480" s="4" t="s">
        <v>769</v>
      </c>
      <c r="H480" t="s">
        <v>830</v>
      </c>
      <c r="I480" t="s">
        <v>1952</v>
      </c>
      <c r="J480" t="s">
        <v>1313</v>
      </c>
      <c r="K480" t="s">
        <v>847</v>
      </c>
      <c r="L480" t="s">
        <v>2163</v>
      </c>
      <c r="M480" t="s">
        <v>903</v>
      </c>
      <c r="N480">
        <v>2015</v>
      </c>
      <c r="O480" t="s">
        <v>830</v>
      </c>
      <c r="P480" s="4" t="s">
        <v>2176</v>
      </c>
      <c r="Q480" s="4" t="s">
        <v>830</v>
      </c>
      <c r="T480" t="s">
        <v>830</v>
      </c>
      <c r="U480" t="s">
        <v>830</v>
      </c>
      <c r="W480" t="s">
        <v>2250</v>
      </c>
      <c r="X480" t="s">
        <v>2166</v>
      </c>
      <c r="Y480" t="s">
        <v>830</v>
      </c>
      <c r="Z480">
        <v>0</v>
      </c>
      <c r="AA480">
        <v>2607</v>
      </c>
      <c r="AB480">
        <v>80</v>
      </c>
      <c r="AC480" t="str">
        <f t="shared" si="40"/>
        <v/>
      </c>
      <c r="AE480" t="str">
        <f t="shared" si="41"/>
        <v/>
      </c>
      <c r="AI480" t="str">
        <f t="shared" si="42"/>
        <v/>
      </c>
      <c r="AJ480" t="str">
        <f t="shared" si="43"/>
        <v/>
      </c>
      <c r="AK480" s="8"/>
      <c r="AL480" s="8"/>
      <c r="AM480" s="8"/>
      <c r="AN480" t="str">
        <f t="shared" ref="AN480:AN485" si="45">IF(AM480&lt;&gt;"",CONCATENATE(AC480," &amp; ",SUBSTITUTE(AJ480,","," ")," &amp; ",SUBSTITUTE(AF480,"."," ")," &amp; ",AL480," &amp; ",AM480," \\"),"")</f>
        <v/>
      </c>
    </row>
    <row r="481" spans="1:40" s="8" customFormat="1" ht="15" x14ac:dyDescent="0.25">
      <c r="A481" t="s">
        <v>769</v>
      </c>
      <c r="B481" s="17" t="s">
        <v>3432</v>
      </c>
      <c r="C481">
        <v>12</v>
      </c>
      <c r="D481" t="s">
        <v>8</v>
      </c>
      <c r="E481" t="s">
        <v>770</v>
      </c>
      <c r="F481" t="s">
        <v>771</v>
      </c>
      <c r="G481" s="4" t="s">
        <v>769</v>
      </c>
      <c r="H481" t="s">
        <v>830</v>
      </c>
      <c r="I481" t="s">
        <v>1952</v>
      </c>
      <c r="J481" t="s">
        <v>1315</v>
      </c>
      <c r="K481" t="s">
        <v>847</v>
      </c>
      <c r="L481" t="s">
        <v>2164</v>
      </c>
      <c r="M481" t="s">
        <v>903</v>
      </c>
      <c r="N481">
        <v>2015</v>
      </c>
      <c r="O481" t="s">
        <v>830</v>
      </c>
      <c r="P481" s="4" t="s">
        <v>2176</v>
      </c>
      <c r="Q481" s="4" t="s">
        <v>830</v>
      </c>
      <c r="R481"/>
      <c r="S481"/>
      <c r="T481" t="s">
        <v>830</v>
      </c>
      <c r="U481" t="s">
        <v>830</v>
      </c>
      <c r="V481"/>
      <c r="W481" t="s">
        <v>2250</v>
      </c>
      <c r="X481" t="s">
        <v>2168</v>
      </c>
      <c r="Y481" t="s">
        <v>830</v>
      </c>
      <c r="Z481">
        <v>0</v>
      </c>
      <c r="AA481">
        <v>953</v>
      </c>
      <c r="AB481">
        <v>37.83</v>
      </c>
      <c r="AC481" t="str">
        <f t="shared" si="40"/>
        <v/>
      </c>
      <c r="AD481"/>
      <c r="AE481" t="str">
        <f t="shared" si="41"/>
        <v/>
      </c>
      <c r="AF481"/>
      <c r="AG481" s="15"/>
      <c r="AH481"/>
      <c r="AI481" t="str">
        <f t="shared" si="42"/>
        <v/>
      </c>
      <c r="AJ481" t="str">
        <f t="shared" si="43"/>
        <v/>
      </c>
      <c r="AK481"/>
      <c r="AL481"/>
      <c r="AM481"/>
      <c r="AN481" t="str">
        <f t="shared" si="45"/>
        <v/>
      </c>
    </row>
    <row r="482" spans="1:40" ht="15" x14ac:dyDescent="0.25">
      <c r="A482" t="s">
        <v>769</v>
      </c>
      <c r="B482" s="17" t="s">
        <v>3432</v>
      </c>
      <c r="C482">
        <v>30</v>
      </c>
      <c r="D482" t="s">
        <v>8</v>
      </c>
      <c r="E482" t="s">
        <v>770</v>
      </c>
      <c r="F482" t="s">
        <v>771</v>
      </c>
      <c r="G482" s="4" t="s">
        <v>769</v>
      </c>
      <c r="H482" t="s">
        <v>830</v>
      </c>
      <c r="I482" t="s">
        <v>1952</v>
      </c>
      <c r="J482" t="s">
        <v>1317</v>
      </c>
      <c r="K482" t="s">
        <v>847</v>
      </c>
      <c r="L482" t="s">
        <v>1513</v>
      </c>
      <c r="M482" t="s">
        <v>903</v>
      </c>
      <c r="N482">
        <v>2015</v>
      </c>
      <c r="O482" t="s">
        <v>830</v>
      </c>
      <c r="P482" s="4" t="s">
        <v>2176</v>
      </c>
      <c r="Q482" s="4" t="s">
        <v>830</v>
      </c>
      <c r="T482" t="s">
        <v>830</v>
      </c>
      <c r="U482" t="s">
        <v>830</v>
      </c>
      <c r="W482" t="s">
        <v>2250</v>
      </c>
      <c r="X482" t="s">
        <v>2171</v>
      </c>
      <c r="Y482" t="s">
        <v>830</v>
      </c>
      <c r="Z482">
        <v>0</v>
      </c>
      <c r="AA482">
        <v>1000</v>
      </c>
      <c r="AB482">
        <v>51.41</v>
      </c>
      <c r="AC482" t="str">
        <f t="shared" si="40"/>
        <v/>
      </c>
      <c r="AE482" t="str">
        <f t="shared" si="41"/>
        <v/>
      </c>
      <c r="AI482" t="str">
        <f t="shared" si="42"/>
        <v/>
      </c>
      <c r="AJ482" t="str">
        <f t="shared" si="43"/>
        <v/>
      </c>
      <c r="AN482" t="str">
        <f t="shared" si="45"/>
        <v/>
      </c>
    </row>
    <row r="483" spans="1:40" s="8" customFormat="1" ht="15" x14ac:dyDescent="0.25">
      <c r="A483" t="s">
        <v>769</v>
      </c>
      <c r="B483" s="17" t="s">
        <v>3432</v>
      </c>
      <c r="C483">
        <v>31</v>
      </c>
      <c r="D483" t="s">
        <v>8</v>
      </c>
      <c r="E483" t="s">
        <v>770</v>
      </c>
      <c r="F483" t="s">
        <v>771</v>
      </c>
      <c r="G483" s="4" t="s">
        <v>769</v>
      </c>
      <c r="H483" t="s">
        <v>830</v>
      </c>
      <c r="I483" t="s">
        <v>1952</v>
      </c>
      <c r="J483" t="s">
        <v>1319</v>
      </c>
      <c r="K483" t="s">
        <v>847</v>
      </c>
      <c r="L483" t="s">
        <v>2173</v>
      </c>
      <c r="M483" t="s">
        <v>903</v>
      </c>
      <c r="N483">
        <v>2015</v>
      </c>
      <c r="O483" t="s">
        <v>830</v>
      </c>
      <c r="P483" s="4" t="s">
        <v>2176</v>
      </c>
      <c r="Q483" s="4" t="s">
        <v>830</v>
      </c>
      <c r="R483"/>
      <c r="S483"/>
      <c r="T483" t="s">
        <v>830</v>
      </c>
      <c r="U483" t="s">
        <v>830</v>
      </c>
      <c r="V483"/>
      <c r="W483" t="s">
        <v>2250</v>
      </c>
      <c r="X483" t="s">
        <v>2169</v>
      </c>
      <c r="Y483" t="s">
        <v>830</v>
      </c>
      <c r="Z483">
        <v>0</v>
      </c>
      <c r="AA483">
        <v>1000</v>
      </c>
      <c r="AB483">
        <v>43.512</v>
      </c>
      <c r="AC483" t="str">
        <f t="shared" si="40"/>
        <v/>
      </c>
      <c r="AD483"/>
      <c r="AE483" t="str">
        <f t="shared" si="41"/>
        <v/>
      </c>
      <c r="AF483"/>
      <c r="AG483" s="15"/>
      <c r="AH483"/>
      <c r="AI483" t="str">
        <f t="shared" si="42"/>
        <v/>
      </c>
      <c r="AJ483" t="str">
        <f t="shared" si="43"/>
        <v/>
      </c>
      <c r="AK483"/>
      <c r="AL483"/>
      <c r="AM483"/>
      <c r="AN483" t="str">
        <f t="shared" si="45"/>
        <v/>
      </c>
    </row>
    <row r="484" spans="1:40" ht="15" x14ac:dyDescent="0.25">
      <c r="A484" t="s">
        <v>769</v>
      </c>
      <c r="B484" s="17" t="s">
        <v>3432</v>
      </c>
      <c r="C484">
        <v>32</v>
      </c>
      <c r="D484" t="s">
        <v>8</v>
      </c>
      <c r="E484" t="s">
        <v>770</v>
      </c>
      <c r="F484" t="s">
        <v>771</v>
      </c>
      <c r="G484" s="4" t="s">
        <v>769</v>
      </c>
      <c r="H484" t="s">
        <v>830</v>
      </c>
      <c r="I484" t="s">
        <v>1952</v>
      </c>
      <c r="J484" t="s">
        <v>1316</v>
      </c>
      <c r="K484" t="s">
        <v>847</v>
      </c>
      <c r="L484" t="s">
        <v>2173</v>
      </c>
      <c r="M484" t="s">
        <v>903</v>
      </c>
      <c r="N484">
        <v>2015</v>
      </c>
      <c r="O484" t="s">
        <v>830</v>
      </c>
      <c r="P484" s="4" t="s">
        <v>2176</v>
      </c>
      <c r="Q484" s="4" t="s">
        <v>830</v>
      </c>
      <c r="T484" t="s">
        <v>830</v>
      </c>
      <c r="U484" t="s">
        <v>830</v>
      </c>
      <c r="W484" t="s">
        <v>2250</v>
      </c>
      <c r="X484" t="s">
        <v>2170</v>
      </c>
      <c r="Y484" t="s">
        <v>830</v>
      </c>
      <c r="Z484">
        <v>0</v>
      </c>
      <c r="AA484">
        <v>998</v>
      </c>
      <c r="AB484">
        <v>51.753</v>
      </c>
      <c r="AC484" t="str">
        <f t="shared" si="40"/>
        <v/>
      </c>
      <c r="AE484" t="str">
        <f t="shared" si="41"/>
        <v/>
      </c>
      <c r="AI484" t="str">
        <f t="shared" si="42"/>
        <v/>
      </c>
      <c r="AJ484" t="str">
        <f t="shared" si="43"/>
        <v/>
      </c>
      <c r="AN484" t="str">
        <f t="shared" si="45"/>
        <v/>
      </c>
    </row>
    <row r="485" spans="1:40" ht="15" x14ac:dyDescent="0.25">
      <c r="A485" t="s">
        <v>769</v>
      </c>
      <c r="B485" s="17" t="s">
        <v>3432</v>
      </c>
      <c r="C485">
        <v>33</v>
      </c>
      <c r="D485" t="s">
        <v>8</v>
      </c>
      <c r="E485" t="s">
        <v>770</v>
      </c>
      <c r="F485" t="s">
        <v>771</v>
      </c>
      <c r="G485" s="4" t="s">
        <v>769</v>
      </c>
      <c r="H485" t="s">
        <v>830</v>
      </c>
      <c r="I485" t="s">
        <v>1952</v>
      </c>
      <c r="J485" t="s">
        <v>1318</v>
      </c>
      <c r="K485" t="s">
        <v>847</v>
      </c>
      <c r="L485" t="s">
        <v>2174</v>
      </c>
      <c r="M485" t="s">
        <v>2142</v>
      </c>
      <c r="N485">
        <v>2015</v>
      </c>
      <c r="O485" t="s">
        <v>830</v>
      </c>
      <c r="P485" s="4" t="s">
        <v>2165</v>
      </c>
      <c r="Q485" s="4" t="s">
        <v>830</v>
      </c>
      <c r="T485" t="s">
        <v>830</v>
      </c>
      <c r="U485" t="s">
        <v>830</v>
      </c>
      <c r="W485" t="s">
        <v>2250</v>
      </c>
      <c r="X485" t="s">
        <v>2172</v>
      </c>
      <c r="Y485" t="s">
        <v>830</v>
      </c>
      <c r="Z485">
        <v>0</v>
      </c>
      <c r="AA485">
        <v>1666</v>
      </c>
      <c r="AB485">
        <v>63.926000000000002</v>
      </c>
      <c r="AC485" t="str">
        <f t="shared" si="40"/>
        <v/>
      </c>
      <c r="AE485" t="str">
        <f t="shared" si="41"/>
        <v/>
      </c>
      <c r="AI485" t="str">
        <f t="shared" si="42"/>
        <v/>
      </c>
      <c r="AJ485" t="str">
        <f t="shared" si="43"/>
        <v/>
      </c>
      <c r="AN485" t="str">
        <f t="shared" si="45"/>
        <v/>
      </c>
    </row>
    <row r="486" spans="1:40" x14ac:dyDescent="0.2">
      <c r="A486" t="s">
        <v>772</v>
      </c>
      <c r="B486" t="s">
        <v>773</v>
      </c>
      <c r="C486">
        <v>0</v>
      </c>
      <c r="D486" t="s">
        <v>774</v>
      </c>
      <c r="E486" t="s">
        <v>774</v>
      </c>
      <c r="F486" t="s">
        <v>8</v>
      </c>
      <c r="G486" t="s">
        <v>772</v>
      </c>
      <c r="H486" t="s">
        <v>830</v>
      </c>
      <c r="I486" t="s">
        <v>1952</v>
      </c>
      <c r="J486" t="s">
        <v>1144</v>
      </c>
      <c r="K486" t="s">
        <v>1668</v>
      </c>
      <c r="L486" t="s">
        <v>2310</v>
      </c>
      <c r="M486" t="s">
        <v>2311</v>
      </c>
      <c r="N486">
        <v>2008</v>
      </c>
      <c r="O486" t="s">
        <v>830</v>
      </c>
      <c r="P486" t="s">
        <v>2309</v>
      </c>
      <c r="Q486" t="s">
        <v>830</v>
      </c>
      <c r="T486" t="s">
        <v>830</v>
      </c>
      <c r="U486" t="s">
        <v>830</v>
      </c>
      <c r="W486" t="s">
        <v>2281</v>
      </c>
      <c r="X486" t="s">
        <v>2312</v>
      </c>
      <c r="Y486" t="s">
        <v>830</v>
      </c>
      <c r="Z486">
        <v>1</v>
      </c>
      <c r="AA486">
        <v>176</v>
      </c>
      <c r="AB486">
        <v>15</v>
      </c>
      <c r="AC486" t="str">
        <f t="shared" si="40"/>
        <v>XAQNUZ</v>
      </c>
      <c r="AD486" t="s">
        <v>2920</v>
      </c>
      <c r="AE486" t="str">
        <f t="shared" si="41"/>
        <v>AminoPyrimidine</v>
      </c>
      <c r="AF486" t="s">
        <v>2941</v>
      </c>
      <c r="AG486" s="15" t="s">
        <v>2919</v>
      </c>
      <c r="AH486" t="s">
        <v>2884</v>
      </c>
      <c r="AI486" t="str">
        <f t="shared" si="42"/>
        <v>CSD,version,6.01</v>
      </c>
      <c r="AJ486" t="str">
        <f t="shared" si="43"/>
        <v>C5,H7,N3</v>
      </c>
      <c r="AK486" s="4" t="s">
        <v>3059</v>
      </c>
      <c r="AL486">
        <v>1</v>
      </c>
      <c r="AM486">
        <v>1</v>
      </c>
      <c r="AN486" t="str">
        <f>IF(AM486&lt;&gt;"",CONCATENATE(AC486," &amp; \ce{",SUBSTITUTE(AJ486,","," "),"} &amp; ",SUBSTITUTE(AF486,"."," ")," &amp; ",AL486," &amp; ",AM486," \\"),"")</f>
        <v>XAQNUZ &amp; \ce{C5 H7 N3} &amp; Aminopyrimidine &amp; 1 &amp; 1 \\</v>
      </c>
    </row>
    <row r="487" spans="1:40" ht="15" x14ac:dyDescent="0.25">
      <c r="A487" t="s">
        <v>775</v>
      </c>
      <c r="B487" s="17" t="s">
        <v>3049</v>
      </c>
      <c r="C487">
        <v>10</v>
      </c>
      <c r="D487" t="s">
        <v>776</v>
      </c>
      <c r="E487" t="s">
        <v>776</v>
      </c>
      <c r="F487" t="s">
        <v>777</v>
      </c>
      <c r="G487" t="s">
        <v>775</v>
      </c>
      <c r="H487" t="s">
        <v>830</v>
      </c>
      <c r="I487" t="s">
        <v>1952</v>
      </c>
      <c r="J487" t="s">
        <v>1289</v>
      </c>
      <c r="K487" t="s">
        <v>853</v>
      </c>
      <c r="L487" t="s">
        <v>2248</v>
      </c>
      <c r="M487" s="2" t="s">
        <v>2258</v>
      </c>
      <c r="N487">
        <v>2010</v>
      </c>
      <c r="O487" t="s">
        <v>830</v>
      </c>
      <c r="P487" t="s">
        <v>2245</v>
      </c>
      <c r="Q487" t="s">
        <v>830</v>
      </c>
      <c r="T487" t="s">
        <v>830</v>
      </c>
      <c r="U487" t="s">
        <v>830</v>
      </c>
      <c r="W487" t="s">
        <v>2281</v>
      </c>
      <c r="X487" t="s">
        <v>2247</v>
      </c>
      <c r="Y487" t="s">
        <v>830</v>
      </c>
      <c r="Z487">
        <v>1</v>
      </c>
      <c r="AA487">
        <v>190</v>
      </c>
      <c r="AB487">
        <v>15.073</v>
      </c>
      <c r="AC487" t="str">
        <f t="shared" si="40"/>
        <v>XATJOT</v>
      </c>
      <c r="AD487" t="s">
        <v>2918</v>
      </c>
      <c r="AE487" t="str">
        <f t="shared" si="41"/>
        <v>BTXIX</v>
      </c>
      <c r="AF487" t="s">
        <v>2942</v>
      </c>
      <c r="AG487" s="15" t="s">
        <v>2887</v>
      </c>
      <c r="AH487" t="s">
        <v>2888</v>
      </c>
      <c r="AI487" t="str">
        <f t="shared" si="42"/>
        <v>CSD,version,6.01</v>
      </c>
      <c r="AJ487" t="str">
        <f t="shared" si="43"/>
        <v>C8,H7,N2,+,.,C4,H3,O4,-</v>
      </c>
      <c r="AK487" s="4" t="s">
        <v>3059</v>
      </c>
      <c r="AL487">
        <v>1</v>
      </c>
      <c r="AM487">
        <v>2</v>
      </c>
      <c r="AN487" t="str">
        <f>IF(AM487&lt;&gt;"",CONCATENATE(AC487," &amp; \ce{",SUBSTITUTE(AJ487,","," "),"} &amp; ",SUBSTITUTE(AF487,"."," ")," &amp; ",AL487," &amp; ",AM487," \\"),"")</f>
        <v>XATJOT &amp; \ce{C8 H7 N2 + . C4 H3 O4 -} &amp; Naphthyridinium Fumarate (Blind Test XIX) &amp; 1 &amp; 2 \\</v>
      </c>
    </row>
    <row r="488" spans="1:40" ht="15" x14ac:dyDescent="0.25">
      <c r="A488" t="s">
        <v>775</v>
      </c>
      <c r="B488" s="17" t="s">
        <v>3049</v>
      </c>
      <c r="C488">
        <v>20</v>
      </c>
      <c r="D488" t="s">
        <v>776</v>
      </c>
      <c r="E488" t="s">
        <v>776</v>
      </c>
      <c r="F488" t="s">
        <v>777</v>
      </c>
      <c r="G488" t="s">
        <v>775</v>
      </c>
      <c r="H488" t="s">
        <v>830</v>
      </c>
      <c r="I488" t="s">
        <v>1952</v>
      </c>
      <c r="J488" t="s">
        <v>1288</v>
      </c>
      <c r="K488" t="s">
        <v>853</v>
      </c>
      <c r="L488" t="s">
        <v>2244</v>
      </c>
      <c r="M488" t="s">
        <v>891</v>
      </c>
      <c r="N488">
        <v>2010</v>
      </c>
      <c r="O488" t="s">
        <v>830</v>
      </c>
      <c r="P488" t="s">
        <v>891</v>
      </c>
      <c r="Q488" t="s">
        <v>830</v>
      </c>
      <c r="T488" t="s">
        <v>830</v>
      </c>
      <c r="U488" t="s">
        <v>830</v>
      </c>
      <c r="W488" t="s">
        <v>2281</v>
      </c>
      <c r="X488" t="s">
        <v>2246</v>
      </c>
      <c r="Y488" t="s">
        <v>830</v>
      </c>
      <c r="Z488">
        <v>0</v>
      </c>
      <c r="AA488">
        <v>3034</v>
      </c>
      <c r="AB488">
        <v>42.045000000000002</v>
      </c>
      <c r="AC488" t="str">
        <f t="shared" si="40"/>
        <v/>
      </c>
      <c r="AE488" t="str">
        <f t="shared" si="41"/>
        <v/>
      </c>
      <c r="AI488" t="str">
        <f t="shared" si="42"/>
        <v/>
      </c>
      <c r="AJ488" t="str">
        <f t="shared" si="43"/>
        <v/>
      </c>
      <c r="AN488" t="str">
        <f>IF(AM488&lt;&gt;"",CONCATENATE(AC488," &amp; ",SUBSTITUTE(AJ488,","," ")," &amp; ",SUBSTITUTE(AF488,"."," ")," &amp; ",AL488," &amp; ",AM488," \\"),"")</f>
        <v/>
      </c>
    </row>
    <row r="489" spans="1:40" x14ac:dyDescent="0.2">
      <c r="A489" t="s">
        <v>778</v>
      </c>
      <c r="B489" t="s">
        <v>779</v>
      </c>
      <c r="C489">
        <v>0</v>
      </c>
      <c r="D489" t="s">
        <v>780</v>
      </c>
      <c r="E489" t="s">
        <v>781</v>
      </c>
      <c r="F489" t="s">
        <v>2239</v>
      </c>
      <c r="G489" t="s">
        <v>778</v>
      </c>
      <c r="H489" t="s">
        <v>830</v>
      </c>
      <c r="I489" t="s">
        <v>1952</v>
      </c>
      <c r="J489" t="s">
        <v>1092</v>
      </c>
      <c r="K489" t="s">
        <v>897</v>
      </c>
      <c r="L489" t="s">
        <v>2316</v>
      </c>
      <c r="M489" s="4" t="s">
        <v>2302</v>
      </c>
      <c r="N489">
        <v>2005</v>
      </c>
      <c r="O489" t="s">
        <v>830</v>
      </c>
      <c r="P489" t="s">
        <v>2317</v>
      </c>
      <c r="Q489" t="s">
        <v>830</v>
      </c>
      <c r="T489" t="s">
        <v>830</v>
      </c>
      <c r="U489" t="s">
        <v>830</v>
      </c>
      <c r="W489" t="s">
        <v>2281</v>
      </c>
      <c r="X489" t="s">
        <v>2320</v>
      </c>
      <c r="Y489" t="s">
        <v>830</v>
      </c>
      <c r="Z489">
        <v>0</v>
      </c>
      <c r="AA489">
        <v>35</v>
      </c>
      <c r="AB489">
        <v>16.47</v>
      </c>
      <c r="AC489" t="str">
        <f t="shared" si="40"/>
        <v>XATMIP</v>
      </c>
      <c r="AD489" t="s">
        <v>2912</v>
      </c>
      <c r="AE489" t="str">
        <f t="shared" si="41"/>
        <v>Diiodoanthanthrone</v>
      </c>
      <c r="AF489" t="s">
        <v>2968</v>
      </c>
      <c r="AG489" s="15" t="s">
        <v>2919</v>
      </c>
      <c r="AH489" t="s">
        <v>2884</v>
      </c>
      <c r="AI489" t="str">
        <f t="shared" si="42"/>
        <v>CSD,version,6.01</v>
      </c>
      <c r="AJ489" t="str">
        <f t="shared" si="43"/>
        <v>C22,H8,O2,I2</v>
      </c>
      <c r="AK489" s="4" t="s">
        <v>3059</v>
      </c>
      <c r="AL489">
        <v>1</v>
      </c>
      <c r="AM489">
        <v>1</v>
      </c>
      <c r="AN489" t="str">
        <f>IF(AM489&lt;&gt;"",CONCATENATE(AC489," &amp; \ce{",SUBSTITUTE(AJ489,","," "),"} &amp; ",SUBSTITUTE(AF489,"."," ")," &amp; ",AL489," &amp; ",AM489," \\"),"")</f>
        <v>XATMIP &amp; \ce{C22 H8 O2 I2} &amp; Diiodoanthanthrone (Blind Test IX) &amp; 1 &amp; 1 \\</v>
      </c>
    </row>
    <row r="490" spans="1:40" ht="15" x14ac:dyDescent="0.25">
      <c r="A490" t="s">
        <v>782</v>
      </c>
      <c r="B490" s="17" t="s">
        <v>3050</v>
      </c>
      <c r="C490">
        <v>0</v>
      </c>
      <c r="D490" t="s">
        <v>783</v>
      </c>
      <c r="E490" t="s">
        <v>783</v>
      </c>
      <c r="F490" s="4" t="s">
        <v>2256</v>
      </c>
      <c r="G490" t="s">
        <v>782</v>
      </c>
      <c r="H490" t="s">
        <v>830</v>
      </c>
      <c r="I490" t="s">
        <v>1952</v>
      </c>
      <c r="J490" t="s">
        <v>1139</v>
      </c>
      <c r="K490" t="s">
        <v>860</v>
      </c>
      <c r="L490" t="s">
        <v>1558</v>
      </c>
      <c r="M490" s="4" t="s">
        <v>2302</v>
      </c>
      <c r="N490">
        <v>2005</v>
      </c>
      <c r="O490" t="s">
        <v>830</v>
      </c>
      <c r="P490" t="s">
        <v>2318</v>
      </c>
      <c r="Q490" t="s">
        <v>830</v>
      </c>
      <c r="T490" t="s">
        <v>830</v>
      </c>
      <c r="U490" t="s">
        <v>830</v>
      </c>
      <c r="W490" t="s">
        <v>2281</v>
      </c>
      <c r="X490" t="s">
        <v>2319</v>
      </c>
      <c r="Y490" t="s">
        <v>830</v>
      </c>
      <c r="Z490">
        <v>0</v>
      </c>
      <c r="AA490">
        <v>31</v>
      </c>
      <c r="AB490">
        <v>3.61</v>
      </c>
      <c r="AC490" t="str">
        <f t="shared" si="40"/>
        <v>XATMOV</v>
      </c>
      <c r="AD490" t="s">
        <v>2914</v>
      </c>
      <c r="AE490" t="str">
        <f t="shared" si="41"/>
        <v>Azetidine</v>
      </c>
      <c r="AF490" t="s">
        <v>2969</v>
      </c>
      <c r="AG490" s="15" t="s">
        <v>2919</v>
      </c>
      <c r="AH490" t="s">
        <v>2884</v>
      </c>
      <c r="AI490" t="str">
        <f t="shared" si="42"/>
        <v>CSD,version,6.01</v>
      </c>
      <c r="AJ490" t="str">
        <f t="shared" si="43"/>
        <v>C3,H7,N1</v>
      </c>
      <c r="AK490" s="4" t="s">
        <v>3059</v>
      </c>
      <c r="AL490">
        <v>1</v>
      </c>
      <c r="AM490">
        <v>1</v>
      </c>
      <c r="AN490" t="str">
        <f>IF(AM490&lt;&gt;"",CONCATENATE(AC490," &amp; \ce{",SUBSTITUTE(AJ490,","," "),"} &amp; ",SUBSTITUTE(AF490,"."," ")," &amp; ",AL490," &amp; ",AM490," \\"),"")</f>
        <v>XATMOV &amp; \ce{C3 H7 N1} &amp; Azetidine (Blind Test XI) &amp; 1 &amp; 1 \\</v>
      </c>
    </row>
    <row r="491" spans="1:40" ht="15" x14ac:dyDescent="0.25">
      <c r="A491" t="s">
        <v>784</v>
      </c>
      <c r="B491" s="17" t="s">
        <v>3051</v>
      </c>
      <c r="C491">
        <v>0</v>
      </c>
      <c r="D491" t="s">
        <v>785</v>
      </c>
      <c r="E491" t="s">
        <v>786</v>
      </c>
      <c r="F491" t="s">
        <v>8</v>
      </c>
      <c r="G491" t="s">
        <v>784</v>
      </c>
      <c r="H491" t="s">
        <v>830</v>
      </c>
      <c r="I491" t="s">
        <v>2385</v>
      </c>
      <c r="J491" t="s">
        <v>1110</v>
      </c>
      <c r="K491" t="s">
        <v>845</v>
      </c>
      <c r="L491" t="s">
        <v>1553</v>
      </c>
      <c r="M491" t="s">
        <v>916</v>
      </c>
      <c r="N491">
        <v>2007</v>
      </c>
      <c r="O491" t="s">
        <v>830</v>
      </c>
      <c r="P491" t="s">
        <v>2564</v>
      </c>
      <c r="Q491" t="s">
        <v>830</v>
      </c>
      <c r="T491" t="s">
        <v>830</v>
      </c>
      <c r="U491" t="s">
        <v>830</v>
      </c>
      <c r="W491" t="s">
        <v>2526</v>
      </c>
      <c r="X491" t="s">
        <v>2565</v>
      </c>
      <c r="Y491" t="s">
        <v>830</v>
      </c>
      <c r="Z491">
        <v>1</v>
      </c>
      <c r="AA491">
        <v>49</v>
      </c>
      <c r="AB491">
        <v>10</v>
      </c>
      <c r="AC491" t="str">
        <f t="shared" si="40"/>
        <v>XERBEB</v>
      </c>
      <c r="AD491" s="4" t="s">
        <v>3268</v>
      </c>
      <c r="AE491" t="str">
        <f t="shared" si="41"/>
        <v>5Azauracil</v>
      </c>
      <c r="AF491" t="s">
        <v>3458</v>
      </c>
      <c r="AG491" s="16" t="s">
        <v>3132</v>
      </c>
      <c r="AH491" s="4" t="s">
        <v>2884</v>
      </c>
      <c r="AI491" t="str">
        <f t="shared" si="42"/>
        <v>CSD,version,6.01,with,Feb,2026,update</v>
      </c>
      <c r="AJ491" t="str">
        <f t="shared" si="43"/>
        <v>C3,H3,N3,O2</v>
      </c>
      <c r="AL491">
        <v>1</v>
      </c>
      <c r="AM491">
        <v>1</v>
      </c>
      <c r="AN491" t="str">
        <f>IF(AM491&lt;&gt;"",CONCATENATE(AC491," &amp; \ce{",SUBSTITUTE(AJ491,","," "),"} &amp; ",SUBSTITUTE(AF491,"."," ")," &amp; ",AL491," &amp; ",AM491," \\"),"")</f>
        <v>XERBEB &amp; \ce{C3 H3 N3 O2} &amp; 5-Azauracil &amp; 1 &amp; 1 \\</v>
      </c>
    </row>
    <row r="492" spans="1:40" ht="15" x14ac:dyDescent="0.25">
      <c r="A492" t="s">
        <v>1914</v>
      </c>
      <c r="B492" s="17" t="s">
        <v>3052</v>
      </c>
      <c r="C492">
        <v>0</v>
      </c>
      <c r="D492" t="s">
        <v>982</v>
      </c>
      <c r="E492" t="s">
        <v>983</v>
      </c>
      <c r="G492" t="s">
        <v>1914</v>
      </c>
      <c r="H492" t="s">
        <v>830</v>
      </c>
      <c r="I492" t="s">
        <v>1884</v>
      </c>
      <c r="J492" t="s">
        <v>985</v>
      </c>
      <c r="K492" t="s">
        <v>839</v>
      </c>
      <c r="L492" t="s">
        <v>984</v>
      </c>
      <c r="M492" t="s">
        <v>1887</v>
      </c>
      <c r="N492" t="s">
        <v>968</v>
      </c>
      <c r="O492" t="s">
        <v>830</v>
      </c>
      <c r="P492" t="s">
        <v>1885</v>
      </c>
      <c r="Q492" t="s">
        <v>830</v>
      </c>
      <c r="T492" t="s">
        <v>830</v>
      </c>
      <c r="U492" t="s">
        <v>830</v>
      </c>
      <c r="W492" t="s">
        <v>1896</v>
      </c>
      <c r="X492" s="4" t="s">
        <v>2993</v>
      </c>
      <c r="Y492" t="s">
        <v>830</v>
      </c>
      <c r="Z492">
        <v>1</v>
      </c>
      <c r="AA492">
        <v>15803</v>
      </c>
      <c r="AB492">
        <v>57.51</v>
      </c>
      <c r="AC492" t="str">
        <f t="shared" si="40"/>
        <v>XIFZOF</v>
      </c>
      <c r="AD492" t="s">
        <v>2979</v>
      </c>
      <c r="AE492" t="str">
        <f t="shared" si="41"/>
        <v>XXVII</v>
      </c>
      <c r="AF492" t="s">
        <v>2978</v>
      </c>
      <c r="AG492" s="15" t="s">
        <v>2977</v>
      </c>
      <c r="AH492" t="s">
        <v>2976</v>
      </c>
      <c r="AI492" t="str">
        <f t="shared" si="42"/>
        <v>CSD,version,5.46,with,Feb,2025,update</v>
      </c>
      <c r="AJ492" t="str">
        <f t="shared" si="43"/>
        <v>C44,H52,I2,Si2</v>
      </c>
      <c r="AK492" s="4" t="s">
        <v>3059</v>
      </c>
      <c r="AL492">
        <v>2</v>
      </c>
      <c r="AM492">
        <v>7</v>
      </c>
      <c r="AN492" t="str">
        <f>IF(AM492&lt;&gt;"",CONCATENATE(AC492," &amp; \ce{",SUBSTITUTE(AJ492,","," "),"} &amp; ",SUBSTITUTE(AF492,"."," ")," &amp; ",AL492," &amp; ",AM492," \\"),"")</f>
        <v>XIFZOF &amp; \ce{C44 H52 I2 Si2} &amp; Blind Test XXVII (XIFZOF) &amp; 2 &amp; 7 \\</v>
      </c>
    </row>
    <row r="493" spans="1:40" ht="15" x14ac:dyDescent="0.25">
      <c r="A493" t="s">
        <v>1914</v>
      </c>
      <c r="B493" s="17" t="s">
        <v>3052</v>
      </c>
      <c r="C493">
        <v>1</v>
      </c>
      <c r="D493" t="s">
        <v>982</v>
      </c>
      <c r="E493" t="s">
        <v>983</v>
      </c>
      <c r="G493" t="s">
        <v>1914</v>
      </c>
      <c r="H493" t="s">
        <v>830</v>
      </c>
      <c r="I493" t="s">
        <v>1884</v>
      </c>
      <c r="J493" t="s">
        <v>988</v>
      </c>
      <c r="K493" t="s">
        <v>839</v>
      </c>
      <c r="L493" t="s">
        <v>986</v>
      </c>
      <c r="M493" t="s">
        <v>1885</v>
      </c>
      <c r="N493" t="s">
        <v>987</v>
      </c>
      <c r="O493" t="s">
        <v>830</v>
      </c>
      <c r="P493" t="s">
        <v>1885</v>
      </c>
      <c r="Q493" t="s">
        <v>830</v>
      </c>
      <c r="T493" t="s">
        <v>830</v>
      </c>
      <c r="U493" t="s">
        <v>830</v>
      </c>
      <c r="W493" t="s">
        <v>1896</v>
      </c>
      <c r="X493" s="4" t="s">
        <v>2994</v>
      </c>
      <c r="Y493" t="s">
        <v>830</v>
      </c>
      <c r="Z493">
        <v>1</v>
      </c>
      <c r="AA493">
        <v>100</v>
      </c>
      <c r="AB493">
        <v>124.82599999999999</v>
      </c>
      <c r="AC493" t="str">
        <f t="shared" si="40"/>
        <v/>
      </c>
      <c r="AE493" t="str">
        <f t="shared" si="41"/>
        <v/>
      </c>
      <c r="AI493" t="str">
        <f t="shared" si="42"/>
        <v/>
      </c>
      <c r="AJ493" t="str">
        <f t="shared" si="43"/>
        <v/>
      </c>
      <c r="AN493" t="str">
        <f t="shared" ref="AN493:AN498" si="46">IF(AM493&lt;&gt;"",CONCATENATE(AC493," &amp; ",SUBSTITUTE(AJ493,","," ")," &amp; ",SUBSTITUTE(AF493,"."," ")," &amp; ",AL493," &amp; ",AM493," \\"),"")</f>
        <v/>
      </c>
    </row>
    <row r="494" spans="1:40" ht="15" x14ac:dyDescent="0.25">
      <c r="A494" t="s">
        <v>1914</v>
      </c>
      <c r="B494" s="17" t="s">
        <v>3052</v>
      </c>
      <c r="C494">
        <v>2</v>
      </c>
      <c r="D494" t="s">
        <v>982</v>
      </c>
      <c r="E494" t="s">
        <v>983</v>
      </c>
      <c r="G494" t="s">
        <v>1914</v>
      </c>
      <c r="H494" t="s">
        <v>830</v>
      </c>
      <c r="I494" t="s">
        <v>1884</v>
      </c>
      <c r="J494" t="s">
        <v>989</v>
      </c>
      <c r="K494" t="s">
        <v>839</v>
      </c>
      <c r="L494" t="s">
        <v>986</v>
      </c>
      <c r="M494" t="s">
        <v>1885</v>
      </c>
      <c r="N494" t="s">
        <v>987</v>
      </c>
      <c r="O494" t="s">
        <v>830</v>
      </c>
      <c r="P494" t="s">
        <v>1885</v>
      </c>
      <c r="Q494" t="s">
        <v>830</v>
      </c>
      <c r="T494" t="s">
        <v>830</v>
      </c>
      <c r="U494" t="s">
        <v>830</v>
      </c>
      <c r="W494" t="s">
        <v>1896</v>
      </c>
      <c r="X494" s="4" t="s">
        <v>2995</v>
      </c>
      <c r="Y494" t="s">
        <v>830</v>
      </c>
      <c r="Z494">
        <v>1</v>
      </c>
      <c r="AA494">
        <v>100</v>
      </c>
      <c r="AB494">
        <v>126.986</v>
      </c>
      <c r="AC494" t="str">
        <f t="shared" si="40"/>
        <v/>
      </c>
      <c r="AE494" t="str">
        <f t="shared" si="41"/>
        <v/>
      </c>
      <c r="AI494" t="str">
        <f t="shared" si="42"/>
        <v/>
      </c>
      <c r="AJ494" t="str">
        <f t="shared" si="43"/>
        <v/>
      </c>
      <c r="AN494" t="str">
        <f t="shared" si="46"/>
        <v/>
      </c>
    </row>
    <row r="495" spans="1:40" ht="15" x14ac:dyDescent="0.25">
      <c r="A495" t="s">
        <v>1914</v>
      </c>
      <c r="B495" s="17" t="s">
        <v>3052</v>
      </c>
      <c r="C495">
        <v>3</v>
      </c>
      <c r="D495" t="s">
        <v>982</v>
      </c>
      <c r="E495" t="s">
        <v>983</v>
      </c>
      <c r="G495" t="s">
        <v>1914</v>
      </c>
      <c r="H495" t="s">
        <v>830</v>
      </c>
      <c r="I495" t="s">
        <v>1884</v>
      </c>
      <c r="J495" t="s">
        <v>990</v>
      </c>
      <c r="K495" t="s">
        <v>839</v>
      </c>
      <c r="L495" t="s">
        <v>986</v>
      </c>
      <c r="M495" t="s">
        <v>1885</v>
      </c>
      <c r="N495" t="s">
        <v>987</v>
      </c>
      <c r="O495" t="s">
        <v>830</v>
      </c>
      <c r="P495" t="s">
        <v>1885</v>
      </c>
      <c r="Q495" t="s">
        <v>830</v>
      </c>
      <c r="T495" t="s">
        <v>830</v>
      </c>
      <c r="U495" t="s">
        <v>830</v>
      </c>
      <c r="W495" t="s">
        <v>1896</v>
      </c>
      <c r="X495" s="4" t="s">
        <v>2996</v>
      </c>
      <c r="Y495" t="s">
        <v>830</v>
      </c>
      <c r="Z495">
        <v>1</v>
      </c>
      <c r="AA495">
        <v>100</v>
      </c>
      <c r="AB495">
        <v>141.536</v>
      </c>
      <c r="AC495" t="str">
        <f t="shared" si="40"/>
        <v/>
      </c>
      <c r="AE495" t="str">
        <f t="shared" si="41"/>
        <v/>
      </c>
      <c r="AI495" t="str">
        <f t="shared" si="42"/>
        <v/>
      </c>
      <c r="AJ495" t="str">
        <f t="shared" si="43"/>
        <v/>
      </c>
      <c r="AN495" t="str">
        <f t="shared" si="46"/>
        <v/>
      </c>
    </row>
    <row r="496" spans="1:40" ht="15" x14ac:dyDescent="0.25">
      <c r="A496" t="s">
        <v>1914</v>
      </c>
      <c r="B496" s="17" t="s">
        <v>3052</v>
      </c>
      <c r="C496">
        <v>4</v>
      </c>
      <c r="D496" t="s">
        <v>982</v>
      </c>
      <c r="E496" t="s">
        <v>983</v>
      </c>
      <c r="G496" t="s">
        <v>1914</v>
      </c>
      <c r="H496" t="s">
        <v>830</v>
      </c>
      <c r="I496" t="s">
        <v>1884</v>
      </c>
      <c r="J496" t="s">
        <v>991</v>
      </c>
      <c r="K496" t="s">
        <v>839</v>
      </c>
      <c r="L496" t="s">
        <v>986</v>
      </c>
      <c r="M496" t="s">
        <v>1885</v>
      </c>
      <c r="N496" t="s">
        <v>987</v>
      </c>
      <c r="O496" t="s">
        <v>830</v>
      </c>
      <c r="P496" t="s">
        <v>1885</v>
      </c>
      <c r="Q496" t="s">
        <v>830</v>
      </c>
      <c r="T496" t="s">
        <v>830</v>
      </c>
      <c r="U496" t="s">
        <v>830</v>
      </c>
      <c r="W496" t="s">
        <v>1896</v>
      </c>
      <c r="X496" s="4" t="s">
        <v>2997</v>
      </c>
      <c r="Y496" t="s">
        <v>830</v>
      </c>
      <c r="Z496">
        <v>1</v>
      </c>
      <c r="AA496">
        <v>100</v>
      </c>
      <c r="AB496">
        <v>112.194</v>
      </c>
      <c r="AC496" t="str">
        <f t="shared" si="40"/>
        <v/>
      </c>
      <c r="AE496" t="str">
        <f t="shared" si="41"/>
        <v/>
      </c>
      <c r="AI496" t="str">
        <f t="shared" si="42"/>
        <v/>
      </c>
      <c r="AJ496" t="str">
        <f t="shared" si="43"/>
        <v/>
      </c>
      <c r="AN496" t="str">
        <f t="shared" si="46"/>
        <v/>
      </c>
    </row>
    <row r="497" spans="1:40" ht="15" x14ac:dyDescent="0.25">
      <c r="A497" t="s">
        <v>1914</v>
      </c>
      <c r="B497" s="17" t="s">
        <v>3052</v>
      </c>
      <c r="C497">
        <v>5</v>
      </c>
      <c r="D497" t="s">
        <v>982</v>
      </c>
      <c r="E497" t="s">
        <v>983</v>
      </c>
      <c r="G497" t="s">
        <v>1914</v>
      </c>
      <c r="H497" t="s">
        <v>830</v>
      </c>
      <c r="I497" t="s">
        <v>1884</v>
      </c>
      <c r="J497" t="s">
        <v>992</v>
      </c>
      <c r="K497" t="s">
        <v>839</v>
      </c>
      <c r="L497" t="s">
        <v>986</v>
      </c>
      <c r="M497" t="s">
        <v>1886</v>
      </c>
      <c r="N497" t="s">
        <v>987</v>
      </c>
      <c r="O497" t="s">
        <v>830</v>
      </c>
      <c r="P497" t="s">
        <v>830</v>
      </c>
      <c r="Q497" t="s">
        <v>830</v>
      </c>
      <c r="T497" t="s">
        <v>830</v>
      </c>
      <c r="U497" t="s">
        <v>830</v>
      </c>
      <c r="W497" t="s">
        <v>1896</v>
      </c>
      <c r="X497" s="4" t="s">
        <v>2998</v>
      </c>
      <c r="Y497" t="s">
        <v>830</v>
      </c>
      <c r="Z497">
        <v>1</v>
      </c>
      <c r="AA497">
        <v>100</v>
      </c>
      <c r="AB497">
        <v>112.762</v>
      </c>
      <c r="AC497" t="str">
        <f t="shared" si="40"/>
        <v/>
      </c>
      <c r="AE497" t="str">
        <f t="shared" si="41"/>
        <v/>
      </c>
      <c r="AI497" t="str">
        <f t="shared" si="42"/>
        <v/>
      </c>
      <c r="AJ497" t="str">
        <f t="shared" si="43"/>
        <v/>
      </c>
      <c r="AN497" t="str">
        <f t="shared" si="46"/>
        <v/>
      </c>
    </row>
    <row r="498" spans="1:40" ht="15" x14ac:dyDescent="0.25">
      <c r="A498" t="s">
        <v>1914</v>
      </c>
      <c r="B498" s="17" t="s">
        <v>3052</v>
      </c>
      <c r="C498">
        <v>6</v>
      </c>
      <c r="D498" t="s">
        <v>982</v>
      </c>
      <c r="E498" t="s">
        <v>983</v>
      </c>
      <c r="G498" t="s">
        <v>1914</v>
      </c>
      <c r="H498" t="s">
        <v>830</v>
      </c>
      <c r="I498" t="s">
        <v>1884</v>
      </c>
      <c r="J498" t="s">
        <v>993</v>
      </c>
      <c r="K498" t="s">
        <v>839</v>
      </c>
      <c r="L498" t="s">
        <v>986</v>
      </c>
      <c r="M498" t="s">
        <v>1885</v>
      </c>
      <c r="N498" t="s">
        <v>987</v>
      </c>
      <c r="O498" t="s">
        <v>830</v>
      </c>
      <c r="P498" t="s">
        <v>1885</v>
      </c>
      <c r="Q498" t="s">
        <v>830</v>
      </c>
      <c r="T498" t="s">
        <v>830</v>
      </c>
      <c r="U498" t="s">
        <v>830</v>
      </c>
      <c r="W498" t="s">
        <v>1896</v>
      </c>
      <c r="X498" s="4" t="s">
        <v>2999</v>
      </c>
      <c r="Y498" t="s">
        <v>830</v>
      </c>
      <c r="Z498">
        <v>1</v>
      </c>
      <c r="AA498">
        <v>100</v>
      </c>
      <c r="AB498">
        <v>128.67400000000001</v>
      </c>
      <c r="AC498" t="str">
        <f t="shared" si="40"/>
        <v/>
      </c>
      <c r="AE498" t="str">
        <f t="shared" si="41"/>
        <v/>
      </c>
      <c r="AI498" t="str">
        <f t="shared" si="42"/>
        <v/>
      </c>
      <c r="AJ498" t="str">
        <f t="shared" si="43"/>
        <v/>
      </c>
      <c r="AN498" t="str">
        <f t="shared" si="46"/>
        <v/>
      </c>
    </row>
    <row r="499" spans="1:40" ht="15" x14ac:dyDescent="0.25">
      <c r="A499" t="s">
        <v>787</v>
      </c>
      <c r="B499" s="17" t="s">
        <v>3026</v>
      </c>
      <c r="C499">
        <v>20</v>
      </c>
      <c r="D499" t="s">
        <v>788</v>
      </c>
      <c r="E499" t="s">
        <v>2737</v>
      </c>
      <c r="F499" t="s">
        <v>2728</v>
      </c>
      <c r="G499" t="s">
        <v>787</v>
      </c>
      <c r="H499" t="s">
        <v>830</v>
      </c>
      <c r="I499" t="s">
        <v>2385</v>
      </c>
      <c r="J499" t="s">
        <v>1158</v>
      </c>
      <c r="K499" t="s">
        <v>851</v>
      </c>
      <c r="L499" t="s">
        <v>2738</v>
      </c>
      <c r="M499" t="s">
        <v>2595</v>
      </c>
      <c r="N499">
        <v>2009</v>
      </c>
      <c r="O499" t="s">
        <v>830</v>
      </c>
      <c r="P499" t="s">
        <v>2732</v>
      </c>
      <c r="Q499" t="s">
        <v>830</v>
      </c>
      <c r="T499" t="s">
        <v>830</v>
      </c>
      <c r="U499" t="s">
        <v>830</v>
      </c>
      <c r="W499" t="s">
        <v>2692</v>
      </c>
      <c r="X499" t="s">
        <v>3133</v>
      </c>
      <c r="Y499" t="s">
        <v>830</v>
      </c>
      <c r="Z499">
        <v>1</v>
      </c>
      <c r="AA499">
        <v>130</v>
      </c>
      <c r="AB499">
        <v>15</v>
      </c>
      <c r="AC499" t="str">
        <f t="shared" si="40"/>
        <v>XOBCAT</v>
      </c>
      <c r="AD499" t="s">
        <v>3134</v>
      </c>
      <c r="AE499" t="str">
        <f t="shared" si="41"/>
        <v>CaffeineSalicylicAcid</v>
      </c>
      <c r="AF499" t="s">
        <v>3122</v>
      </c>
      <c r="AG499" s="15" t="s">
        <v>3132</v>
      </c>
      <c r="AH499" t="s">
        <v>2884</v>
      </c>
      <c r="AI499" t="str">
        <f t="shared" si="42"/>
        <v>CSD,version,6.01,with,Feb,2026,update</v>
      </c>
      <c r="AJ499" t="str">
        <f t="shared" si="43"/>
        <v>C8,H10,N4,O2,.,C7,H6,O3</v>
      </c>
      <c r="AL499">
        <v>1</v>
      </c>
      <c r="AM499">
        <v>1</v>
      </c>
      <c r="AN499" t="str">
        <f>IF(AM499&lt;&gt;"",CONCATENATE(AC499," &amp; \ce{",SUBSTITUTE(AJ499,","," "),"} &amp; ",SUBSTITUTE(AF499,"."," ")," &amp; ",AL499," &amp; ",AM499," \\"),"")</f>
        <v>XOBCAT &amp; \ce{C8 H10 N4 O2 . C7 H6 O3} &amp; Caffeine Salicylic Acid cocrystal &amp; 1 &amp; 1 \\</v>
      </c>
    </row>
    <row r="500" spans="1:40" ht="15" x14ac:dyDescent="0.25">
      <c r="A500" t="s">
        <v>1051</v>
      </c>
      <c r="B500" s="17" t="s">
        <v>3053</v>
      </c>
      <c r="C500">
        <v>10</v>
      </c>
      <c r="D500" t="s">
        <v>1052</v>
      </c>
      <c r="E500" t="s">
        <v>1053</v>
      </c>
      <c r="H500" t="s">
        <v>830</v>
      </c>
      <c r="I500" t="s">
        <v>1952</v>
      </c>
      <c r="J500" t="s">
        <v>1054</v>
      </c>
      <c r="K500" t="s">
        <v>997</v>
      </c>
      <c r="L500" t="s">
        <v>996</v>
      </c>
      <c r="M500" t="s">
        <v>1887</v>
      </c>
      <c r="N500" t="s">
        <v>998</v>
      </c>
      <c r="O500" t="s">
        <v>947</v>
      </c>
      <c r="P500" t="s">
        <v>2134</v>
      </c>
      <c r="Q500" t="s">
        <v>830</v>
      </c>
      <c r="T500" t="s">
        <v>830</v>
      </c>
      <c r="U500" t="s">
        <v>830</v>
      </c>
      <c r="W500" t="s">
        <v>2250</v>
      </c>
      <c r="X500" t="s">
        <v>2181</v>
      </c>
      <c r="Y500" t="s">
        <v>830</v>
      </c>
      <c r="Z500">
        <v>0</v>
      </c>
      <c r="AA500">
        <v>736</v>
      </c>
      <c r="AB500">
        <v>72.5</v>
      </c>
      <c r="AC500" t="str">
        <f t="shared" si="40"/>
        <v>XXXCTT</v>
      </c>
      <c r="AD500" s="4" t="s">
        <v>2986</v>
      </c>
      <c r="AE500" t="str">
        <f t="shared" si="41"/>
        <v>Cannabinol2Tetramethylpyrazine</v>
      </c>
      <c r="AF500" t="s">
        <v>3003</v>
      </c>
      <c r="AG500" s="16" t="s">
        <v>2925</v>
      </c>
      <c r="AH500" s="4" t="s">
        <v>2884</v>
      </c>
      <c r="AI500" t="str">
        <f t="shared" si="42"/>
        <v>CSD,version,6.01</v>
      </c>
      <c r="AJ500" t="str">
        <f t="shared" si="43"/>
        <v>C21,H26,O2,.,C8,H12,N2,.,C8,H12,N2</v>
      </c>
      <c r="AK500" s="4" t="s">
        <v>3189</v>
      </c>
      <c r="AL500">
        <v>1</v>
      </c>
      <c r="AM500">
        <v>1</v>
      </c>
      <c r="AN500" t="str">
        <f>IF(AM500&lt;&gt;"",CONCATENATE(AC500," &amp; \ce{",SUBSTITUTE(AJ500,","," "),"} &amp; ",SUBSTITUTE(AF500,"."," ")," &amp; ",AL500," &amp; ",AM500," \\"),"")</f>
        <v>XXXCTT &amp; \ce{C21 H26 O2 . C8 H12 N2 . C8 H12 N2} &amp; Cannabinol bis Tetramethylpyrazine cocrystal (Blind Test XXX) &amp; 1 &amp; 1 \\</v>
      </c>
    </row>
    <row r="501" spans="1:40" x14ac:dyDescent="0.2">
      <c r="A501" t="s">
        <v>789</v>
      </c>
      <c r="B501" t="s">
        <v>790</v>
      </c>
      <c r="C501">
        <v>10</v>
      </c>
      <c r="D501" t="s">
        <v>791</v>
      </c>
      <c r="E501" t="s">
        <v>792</v>
      </c>
      <c r="F501" t="s">
        <v>793</v>
      </c>
      <c r="G501" t="s">
        <v>794</v>
      </c>
      <c r="H501" t="s">
        <v>830</v>
      </c>
      <c r="I501" t="s">
        <v>1477</v>
      </c>
      <c r="J501" t="s">
        <v>1500</v>
      </c>
      <c r="K501" t="s">
        <v>862</v>
      </c>
      <c r="L501" t="s">
        <v>1515</v>
      </c>
      <c r="M501" t="s">
        <v>887</v>
      </c>
      <c r="N501">
        <v>2013</v>
      </c>
      <c r="O501" t="s">
        <v>830</v>
      </c>
      <c r="P501" t="s">
        <v>887</v>
      </c>
      <c r="Q501" t="s">
        <v>830</v>
      </c>
      <c r="T501" t="s">
        <v>830</v>
      </c>
      <c r="U501" t="s">
        <v>830</v>
      </c>
      <c r="W501" t="s">
        <v>1778</v>
      </c>
      <c r="X501" t="s">
        <v>1781</v>
      </c>
      <c r="Y501" t="s">
        <v>830</v>
      </c>
      <c r="Z501">
        <v>3</v>
      </c>
      <c r="AA501">
        <v>1264</v>
      </c>
      <c r="AB501">
        <v>49.401000000000003</v>
      </c>
      <c r="AC501" t="str">
        <f t="shared" si="40"/>
        <v>XYANAC</v>
      </c>
      <c r="AD501" s="4" t="s">
        <v>3083</v>
      </c>
      <c r="AE501" t="str">
        <f t="shared" si="41"/>
        <v>MefenamicAcid</v>
      </c>
      <c r="AF501" t="s">
        <v>3443</v>
      </c>
      <c r="AG501" s="15" t="s">
        <v>3079</v>
      </c>
      <c r="AH501" s="4" t="s">
        <v>3082</v>
      </c>
      <c r="AI501" t="str">
        <f t="shared" si="42"/>
        <v>CSD,version,5.43,with,Mar,,Jun,,Sep,and,Nov,2022,updates</v>
      </c>
      <c r="AJ501" t="str">
        <f t="shared" si="43"/>
        <v>C15,H15,N1,O2</v>
      </c>
      <c r="AK501" t="s">
        <v>3057</v>
      </c>
      <c r="AL501">
        <v>1</v>
      </c>
      <c r="AM501">
        <v>3</v>
      </c>
      <c r="AN501" t="str">
        <f>IF(AM501&lt;&gt;"",CONCATENATE(AC501," &amp; \ce{",SUBSTITUTE(AJ501,","," "),"} &amp; ",SUBSTITUTE(AF501,"."," ")," &amp; ",AL501," &amp; ",AM501," \\"),"")</f>
        <v>XYANAC &amp; \ce{C15 H15 N1 O2} &amp; Mefenamic Acid &amp; 1 &amp; 3 \\</v>
      </c>
    </row>
    <row r="502" spans="1:40" x14ac:dyDescent="0.2">
      <c r="A502" t="s">
        <v>789</v>
      </c>
      <c r="B502" t="s">
        <v>790</v>
      </c>
      <c r="C502">
        <v>11</v>
      </c>
      <c r="D502" t="s">
        <v>791</v>
      </c>
      <c r="E502" t="s">
        <v>792</v>
      </c>
      <c r="F502" t="s">
        <v>793</v>
      </c>
      <c r="G502" t="s">
        <v>1621</v>
      </c>
      <c r="H502" s="4" t="s">
        <v>830</v>
      </c>
      <c r="I502" t="s">
        <v>1477</v>
      </c>
      <c r="J502" t="s">
        <v>1622</v>
      </c>
      <c r="K502" t="s">
        <v>839</v>
      </c>
      <c r="L502" t="s">
        <v>1616</v>
      </c>
      <c r="M502" t="s">
        <v>1586</v>
      </c>
      <c r="N502">
        <v>2024</v>
      </c>
      <c r="O502" t="s">
        <v>830</v>
      </c>
      <c r="P502" t="s">
        <v>887</v>
      </c>
      <c r="Q502" t="s">
        <v>830</v>
      </c>
      <c r="R502" t="s">
        <v>830</v>
      </c>
      <c r="S502" t="s">
        <v>830</v>
      </c>
      <c r="T502" t="s">
        <v>830</v>
      </c>
      <c r="U502" t="s">
        <v>830</v>
      </c>
      <c r="W502" t="s">
        <v>1778</v>
      </c>
      <c r="X502" t="s">
        <v>1783</v>
      </c>
      <c r="Y502" t="s">
        <v>830</v>
      </c>
      <c r="Z502">
        <v>3</v>
      </c>
      <c r="AA502">
        <v>16</v>
      </c>
      <c r="AB502">
        <v>26.911999999999999</v>
      </c>
      <c r="AC502" t="str">
        <f t="shared" si="40"/>
        <v/>
      </c>
      <c r="AE502" t="str">
        <f t="shared" si="41"/>
        <v/>
      </c>
      <c r="AI502" t="str">
        <f t="shared" si="42"/>
        <v/>
      </c>
      <c r="AJ502" t="str">
        <f t="shared" si="43"/>
        <v/>
      </c>
      <c r="AN502" t="str">
        <f>IF(AM502&lt;&gt;"",CONCATENATE(AC502," &amp; ",SUBSTITUTE(AJ502,","," ")," &amp; ",SUBSTITUTE(AF502,"."," ")," &amp; ",AL502," &amp; ",AM502," \\"),"")</f>
        <v/>
      </c>
    </row>
    <row r="503" spans="1:40" x14ac:dyDescent="0.2">
      <c r="A503" t="s">
        <v>789</v>
      </c>
      <c r="B503" t="s">
        <v>790</v>
      </c>
      <c r="C503">
        <v>20</v>
      </c>
      <c r="D503" t="s">
        <v>791</v>
      </c>
      <c r="E503" t="s">
        <v>795</v>
      </c>
      <c r="F503" t="s">
        <v>8</v>
      </c>
      <c r="G503" t="s">
        <v>789</v>
      </c>
      <c r="H503" t="s">
        <v>830</v>
      </c>
      <c r="I503" t="s">
        <v>1477</v>
      </c>
      <c r="J503" t="s">
        <v>1501</v>
      </c>
      <c r="K503" t="s">
        <v>862</v>
      </c>
      <c r="L503" t="s">
        <v>1516</v>
      </c>
      <c r="M503" t="s">
        <v>887</v>
      </c>
      <c r="N503">
        <v>2013</v>
      </c>
      <c r="O503" t="s">
        <v>830</v>
      </c>
      <c r="P503" t="s">
        <v>887</v>
      </c>
      <c r="Q503" t="s">
        <v>830</v>
      </c>
      <c r="T503" t="s">
        <v>830</v>
      </c>
      <c r="U503" t="s">
        <v>830</v>
      </c>
      <c r="W503" t="s">
        <v>1778</v>
      </c>
      <c r="X503" t="s">
        <v>1780</v>
      </c>
      <c r="Y503" t="s">
        <v>830</v>
      </c>
      <c r="Z503">
        <v>2</v>
      </c>
      <c r="AA503">
        <v>7253</v>
      </c>
      <c r="AB503">
        <v>46.295000000000002</v>
      </c>
      <c r="AC503" t="str">
        <f t="shared" si="40"/>
        <v/>
      </c>
      <c r="AE503" t="str">
        <f t="shared" si="41"/>
        <v/>
      </c>
      <c r="AI503" t="str">
        <f t="shared" si="42"/>
        <v/>
      </c>
      <c r="AJ503" t="str">
        <f t="shared" si="43"/>
        <v/>
      </c>
      <c r="AN503" t="str">
        <f>IF(AM503&lt;&gt;"",CONCATENATE(AC503," &amp; ",SUBSTITUTE(AJ503,","," ")," &amp; ",SUBSTITUTE(AF503,"."," ")," &amp; ",AL503," &amp; ",AM503," \\"),"")</f>
        <v/>
      </c>
    </row>
    <row r="504" spans="1:40" x14ac:dyDescent="0.2">
      <c r="A504" t="s">
        <v>789</v>
      </c>
      <c r="B504" t="s">
        <v>790</v>
      </c>
      <c r="C504">
        <v>30</v>
      </c>
      <c r="D504" t="s">
        <v>791</v>
      </c>
      <c r="E504" t="s">
        <v>792</v>
      </c>
      <c r="F504" t="s">
        <v>793</v>
      </c>
      <c r="G504" t="s">
        <v>794</v>
      </c>
      <c r="H504" t="s">
        <v>830</v>
      </c>
      <c r="I504" t="s">
        <v>1477</v>
      </c>
      <c r="J504" t="s">
        <v>1502</v>
      </c>
      <c r="K504" t="s">
        <v>862</v>
      </c>
      <c r="L504" t="s">
        <v>1480</v>
      </c>
      <c r="M504" s="1" t="s">
        <v>914</v>
      </c>
      <c r="N504">
        <v>2013</v>
      </c>
      <c r="O504" t="s">
        <v>830</v>
      </c>
      <c r="P504" t="s">
        <v>1517</v>
      </c>
      <c r="Q504" t="s">
        <v>830</v>
      </c>
      <c r="T504" t="s">
        <v>830</v>
      </c>
      <c r="U504" t="s">
        <v>830</v>
      </c>
      <c r="W504" t="s">
        <v>1778</v>
      </c>
      <c r="X504" t="s">
        <v>1782</v>
      </c>
      <c r="Y504" t="s">
        <v>830</v>
      </c>
      <c r="Z504">
        <v>3</v>
      </c>
      <c r="AA504">
        <v>1263</v>
      </c>
      <c r="AB504">
        <v>66.370999999999995</v>
      </c>
      <c r="AC504" t="str">
        <f t="shared" si="40"/>
        <v/>
      </c>
      <c r="AE504" t="str">
        <f t="shared" si="41"/>
        <v/>
      </c>
      <c r="AI504" t="str">
        <f t="shared" si="42"/>
        <v/>
      </c>
      <c r="AJ504" t="str">
        <f t="shared" si="43"/>
        <v/>
      </c>
      <c r="AN504" t="str">
        <f>IF(AM504&lt;&gt;"",CONCATENATE(AC504," &amp; ",SUBSTITUTE(AJ504,","," ")," &amp; ",SUBSTITUTE(AF504,"."," ")," &amp; ",AL504," &amp; ",AM504," \\"),"")</f>
        <v/>
      </c>
    </row>
    <row r="505" spans="1:40" x14ac:dyDescent="0.2">
      <c r="A505" s="4" t="s">
        <v>1069</v>
      </c>
      <c r="B505" t="s">
        <v>355</v>
      </c>
      <c r="C505">
        <v>0</v>
      </c>
      <c r="D505" t="s">
        <v>358</v>
      </c>
      <c r="E505" t="s">
        <v>358</v>
      </c>
      <c r="F505" t="s">
        <v>8</v>
      </c>
      <c r="G505" s="4" t="s">
        <v>1814</v>
      </c>
      <c r="H505" t="s">
        <v>830</v>
      </c>
      <c r="I505" t="s">
        <v>1538</v>
      </c>
      <c r="J505" t="s">
        <v>1367</v>
      </c>
      <c r="K505" t="s">
        <v>861</v>
      </c>
      <c r="L505" t="s">
        <v>1805</v>
      </c>
      <c r="M505" t="s">
        <v>1804</v>
      </c>
      <c r="N505">
        <v>2013</v>
      </c>
      <c r="O505" t="s">
        <v>830</v>
      </c>
      <c r="P505" t="s">
        <v>1810</v>
      </c>
      <c r="Q505" t="s">
        <v>830</v>
      </c>
      <c r="T505" t="s">
        <v>830</v>
      </c>
      <c r="U505" t="s">
        <v>830</v>
      </c>
      <c r="W505" t="s">
        <v>1820</v>
      </c>
      <c r="X505" t="s">
        <v>1830</v>
      </c>
      <c r="Y505" t="s">
        <v>830</v>
      </c>
      <c r="Z505">
        <v>2</v>
      </c>
      <c r="AA505">
        <v>1455</v>
      </c>
      <c r="AB505">
        <v>14.28</v>
      </c>
      <c r="AC505" t="str">
        <f t="shared" ref="AC505:AC555" si="47">IF(AND(A505&lt;&gt;A504,T505="Yes"),A505,"")</f>
        <v>YICDIZ</v>
      </c>
      <c r="AD505" t="s">
        <v>3105</v>
      </c>
      <c r="AE505" t="str">
        <f t="shared" si="41"/>
        <v>4-fluorotoluene</v>
      </c>
      <c r="AF505" t="str">
        <f>AE505</f>
        <v>4-fluorotoluene</v>
      </c>
      <c r="AG505" s="15" t="s">
        <v>3128</v>
      </c>
      <c r="AH505" t="s">
        <v>2884</v>
      </c>
      <c r="AI505" t="str">
        <f t="shared" si="42"/>
        <v>CSD,version,5.44,with,Jun,and,Sep,2023,updates</v>
      </c>
      <c r="AJ505" t="str">
        <f t="shared" si="43"/>
        <v>C7,H7,F1</v>
      </c>
      <c r="AL505">
        <v>1</v>
      </c>
      <c r="AM505">
        <v>5</v>
      </c>
      <c r="AN505" t="str">
        <f>IF(AM505&lt;&gt;"",CONCATENATE(AC505," &amp; \ce{",SUBSTITUTE(AJ505,","," "),"} &amp; ",SUBSTITUTE(AF505,"."," ")," &amp; ",AL505," &amp; ",AM505," \\"),"")</f>
        <v>YICDIZ &amp; \ce{C7 H7 F1} &amp; 4-fluorotoluene &amp; 1 &amp; 5 \\</v>
      </c>
    </row>
    <row r="506" spans="1:40" x14ac:dyDescent="0.2">
      <c r="A506" s="4" t="s">
        <v>1069</v>
      </c>
      <c r="B506" t="s">
        <v>355</v>
      </c>
      <c r="C506">
        <v>2</v>
      </c>
      <c r="D506" t="s">
        <v>358</v>
      </c>
      <c r="E506" t="s">
        <v>358</v>
      </c>
      <c r="F506" t="s">
        <v>8</v>
      </c>
      <c r="G506" s="4" t="s">
        <v>1816</v>
      </c>
      <c r="H506" t="s">
        <v>830</v>
      </c>
      <c r="I506" t="s">
        <v>1538</v>
      </c>
      <c r="J506" t="s">
        <v>1368</v>
      </c>
      <c r="K506" t="s">
        <v>861</v>
      </c>
      <c r="L506" t="s">
        <v>1806</v>
      </c>
      <c r="M506" t="s">
        <v>1804</v>
      </c>
      <c r="N506">
        <v>2013</v>
      </c>
      <c r="O506" t="s">
        <v>830</v>
      </c>
      <c r="P506" t="s">
        <v>1810</v>
      </c>
      <c r="Q506" t="s">
        <v>830</v>
      </c>
      <c r="T506" t="s">
        <v>830</v>
      </c>
      <c r="U506" t="s">
        <v>830</v>
      </c>
      <c r="W506" t="s">
        <v>1820</v>
      </c>
      <c r="X506" t="s">
        <v>1835</v>
      </c>
      <c r="Y506" t="s">
        <v>830</v>
      </c>
      <c r="Z506">
        <v>2</v>
      </c>
      <c r="AA506">
        <v>1449</v>
      </c>
      <c r="AB506">
        <v>16.510000000000002</v>
      </c>
      <c r="AC506" t="str">
        <f t="shared" si="47"/>
        <v/>
      </c>
      <c r="AE506" t="str">
        <f t="shared" si="41"/>
        <v/>
      </c>
      <c r="AI506" t="str">
        <f t="shared" si="42"/>
        <v/>
      </c>
      <c r="AJ506" t="str">
        <f t="shared" si="43"/>
        <v/>
      </c>
      <c r="AN506" t="str">
        <f>IF(AM506&lt;&gt;"",CONCATENATE(AC506," &amp; ",SUBSTITUTE(AJ506,","," ")," &amp; ",SUBSTITUTE(AF506,"."," ")," &amp; ",AL506," &amp; ",AM506," \\"),"")</f>
        <v/>
      </c>
    </row>
    <row r="507" spans="1:40" x14ac:dyDescent="0.2">
      <c r="A507" s="4" t="s">
        <v>1069</v>
      </c>
      <c r="B507" t="s">
        <v>355</v>
      </c>
      <c r="C507">
        <v>3</v>
      </c>
      <c r="D507" t="s">
        <v>358</v>
      </c>
      <c r="E507" t="s">
        <v>358</v>
      </c>
      <c r="F507" t="s">
        <v>8</v>
      </c>
      <c r="G507" s="4" t="s">
        <v>1817</v>
      </c>
      <c r="H507" t="s">
        <v>830</v>
      </c>
      <c r="I507" t="s">
        <v>1538</v>
      </c>
      <c r="J507" t="s">
        <v>1369</v>
      </c>
      <c r="K507" t="s">
        <v>861</v>
      </c>
      <c r="L507" t="s">
        <v>1807</v>
      </c>
      <c r="M507" t="s">
        <v>1804</v>
      </c>
      <c r="N507">
        <v>2013</v>
      </c>
      <c r="O507" t="s">
        <v>830</v>
      </c>
      <c r="P507" t="s">
        <v>1810</v>
      </c>
      <c r="Q507" t="s">
        <v>830</v>
      </c>
      <c r="T507" t="s">
        <v>830</v>
      </c>
      <c r="U507" t="s">
        <v>830</v>
      </c>
      <c r="W507" t="s">
        <v>1820</v>
      </c>
      <c r="X507" t="s">
        <v>1836</v>
      </c>
      <c r="Y507" t="s">
        <v>830</v>
      </c>
      <c r="Z507">
        <v>2</v>
      </c>
      <c r="AA507">
        <v>1452</v>
      </c>
      <c r="AB507">
        <v>20</v>
      </c>
      <c r="AC507" t="str">
        <f t="shared" si="47"/>
        <v/>
      </c>
      <c r="AE507" t="str">
        <f t="shared" si="41"/>
        <v/>
      </c>
      <c r="AI507" t="str">
        <f t="shared" si="42"/>
        <v/>
      </c>
      <c r="AJ507" t="str">
        <f t="shared" si="43"/>
        <v/>
      </c>
      <c r="AN507" t="str">
        <f>IF(AM507&lt;&gt;"",CONCATENATE(AC507," &amp; ",SUBSTITUTE(AJ507,","," ")," &amp; ",SUBSTITUTE(AF507,"."," ")," &amp; ",AL507," &amp; ",AM507," \\"),"")</f>
        <v/>
      </c>
    </row>
    <row r="508" spans="1:40" x14ac:dyDescent="0.2">
      <c r="A508" s="4" t="s">
        <v>1069</v>
      </c>
      <c r="B508" t="s">
        <v>355</v>
      </c>
      <c r="C508">
        <v>4</v>
      </c>
      <c r="D508" t="s">
        <v>358</v>
      </c>
      <c r="E508" t="s">
        <v>358</v>
      </c>
      <c r="F508" t="s">
        <v>8</v>
      </c>
      <c r="G508" s="4" t="s">
        <v>1818</v>
      </c>
      <c r="H508" t="s">
        <v>830</v>
      </c>
      <c r="I508" t="s">
        <v>1538</v>
      </c>
      <c r="J508" t="s">
        <v>1370</v>
      </c>
      <c r="K508" t="s">
        <v>861</v>
      </c>
      <c r="L508" t="s">
        <v>1808</v>
      </c>
      <c r="M508" t="s">
        <v>1804</v>
      </c>
      <c r="N508">
        <v>2013</v>
      </c>
      <c r="O508" t="s">
        <v>830</v>
      </c>
      <c r="P508" t="s">
        <v>1810</v>
      </c>
      <c r="Q508" t="s">
        <v>830</v>
      </c>
      <c r="T508" t="s">
        <v>830</v>
      </c>
      <c r="U508" t="s">
        <v>830</v>
      </c>
      <c r="W508" t="s">
        <v>1820</v>
      </c>
      <c r="X508" t="s">
        <v>1824</v>
      </c>
      <c r="Y508" t="s">
        <v>830</v>
      </c>
      <c r="Z508">
        <v>2</v>
      </c>
      <c r="AA508">
        <v>1454</v>
      </c>
      <c r="AB508">
        <v>25.34</v>
      </c>
      <c r="AC508" t="str">
        <f t="shared" si="47"/>
        <v/>
      </c>
      <c r="AE508" t="str">
        <f t="shared" si="41"/>
        <v/>
      </c>
      <c r="AI508" t="str">
        <f t="shared" si="42"/>
        <v/>
      </c>
      <c r="AJ508" t="str">
        <f t="shared" si="43"/>
        <v/>
      </c>
      <c r="AN508" t="str">
        <f>IF(AM508&lt;&gt;"",CONCATENATE(AC508," &amp; ",SUBSTITUTE(AJ508,","," ")," &amp; ",SUBSTITUTE(AF508,"."," ")," &amp; ",AL508," &amp; ",AM508," \\"),"")</f>
        <v/>
      </c>
    </row>
    <row r="509" spans="1:40" x14ac:dyDescent="0.2">
      <c r="A509" s="4" t="s">
        <v>1069</v>
      </c>
      <c r="B509" t="s">
        <v>355</v>
      </c>
      <c r="C509">
        <v>5</v>
      </c>
      <c r="D509" t="s">
        <v>358</v>
      </c>
      <c r="E509" t="s">
        <v>358</v>
      </c>
      <c r="F509" t="s">
        <v>8</v>
      </c>
      <c r="G509" s="4" t="s">
        <v>1819</v>
      </c>
      <c r="H509" t="s">
        <v>830</v>
      </c>
      <c r="I509" t="s">
        <v>1538</v>
      </c>
      <c r="J509" t="s">
        <v>1371</v>
      </c>
      <c r="K509" t="s">
        <v>861</v>
      </c>
      <c r="L509" t="s">
        <v>1809</v>
      </c>
      <c r="M509" t="s">
        <v>1804</v>
      </c>
      <c r="N509">
        <v>2013</v>
      </c>
      <c r="O509" t="s">
        <v>830</v>
      </c>
      <c r="P509" t="s">
        <v>1810</v>
      </c>
      <c r="Q509" t="s">
        <v>830</v>
      </c>
      <c r="T509" t="s">
        <v>830</v>
      </c>
      <c r="U509" t="s">
        <v>830</v>
      </c>
      <c r="W509" t="s">
        <v>1820</v>
      </c>
      <c r="X509" t="s">
        <v>1837</v>
      </c>
      <c r="Y509" t="s">
        <v>830</v>
      </c>
      <c r="Z509">
        <v>2</v>
      </c>
      <c r="AA509">
        <v>1452</v>
      </c>
      <c r="AB509">
        <v>25.33</v>
      </c>
      <c r="AC509" t="str">
        <f t="shared" si="47"/>
        <v/>
      </c>
      <c r="AE509" t="str">
        <f t="shared" si="41"/>
        <v/>
      </c>
      <c r="AI509" t="str">
        <f t="shared" si="42"/>
        <v/>
      </c>
      <c r="AJ509" t="str">
        <f t="shared" si="43"/>
        <v/>
      </c>
      <c r="AN509" t="str">
        <f>IF(AM509&lt;&gt;"",CONCATENATE(AC509," &amp; ",SUBSTITUTE(AJ509,","," ")," &amp; ",SUBSTITUTE(AF509,"."," ")," &amp; ",AL509," &amp; ",AM509," \\"),"")</f>
        <v/>
      </c>
    </row>
    <row r="510" spans="1:40" x14ac:dyDescent="0.2">
      <c r="A510" s="4" t="s">
        <v>1068</v>
      </c>
      <c r="B510" t="s">
        <v>355</v>
      </c>
      <c r="C510">
        <v>0</v>
      </c>
      <c r="D510" t="s">
        <v>357</v>
      </c>
      <c r="E510" t="s">
        <v>357</v>
      </c>
      <c r="F510" t="s">
        <v>8</v>
      </c>
      <c r="G510" s="4" t="s">
        <v>1813</v>
      </c>
      <c r="H510" t="s">
        <v>830</v>
      </c>
      <c r="I510" t="s">
        <v>1538</v>
      </c>
      <c r="J510" t="s">
        <v>1361</v>
      </c>
      <c r="K510" t="s">
        <v>861</v>
      </c>
      <c r="L510" t="s">
        <v>1805</v>
      </c>
      <c r="M510" t="s">
        <v>1804</v>
      </c>
      <c r="N510">
        <v>2013</v>
      </c>
      <c r="O510" t="s">
        <v>830</v>
      </c>
      <c r="P510" t="s">
        <v>1810</v>
      </c>
      <c r="Q510" t="s">
        <v>830</v>
      </c>
      <c r="T510" t="s">
        <v>830</v>
      </c>
      <c r="U510" t="s">
        <v>830</v>
      </c>
      <c r="W510" t="s">
        <v>1820</v>
      </c>
      <c r="X510" t="s">
        <v>1829</v>
      </c>
      <c r="Y510" t="s">
        <v>830</v>
      </c>
      <c r="Z510">
        <v>2</v>
      </c>
      <c r="AA510">
        <v>1289</v>
      </c>
      <c r="AB510">
        <v>13.19</v>
      </c>
      <c r="AC510" t="str">
        <f t="shared" si="47"/>
        <v>YICDUL</v>
      </c>
      <c r="AD510" t="s">
        <v>3107</v>
      </c>
      <c r="AE510" t="str">
        <f t="shared" si="41"/>
        <v>3-fluorotoluene</v>
      </c>
      <c r="AF510" t="str">
        <f>AE510</f>
        <v>3-fluorotoluene</v>
      </c>
      <c r="AG510" s="15" t="s">
        <v>3128</v>
      </c>
      <c r="AH510" t="s">
        <v>2884</v>
      </c>
      <c r="AI510" t="str">
        <f t="shared" si="42"/>
        <v>CSD,version,5.44,with,Jun,and,Sep,2023,updates</v>
      </c>
      <c r="AJ510" t="str">
        <f t="shared" si="43"/>
        <v>C7,H7,F1</v>
      </c>
      <c r="AL510">
        <v>1</v>
      </c>
      <c r="AM510">
        <v>6</v>
      </c>
      <c r="AN510" t="str">
        <f>IF(AM510&lt;&gt;"",CONCATENATE(AC510," &amp; \ce{",SUBSTITUTE(AJ510,","," "),"} &amp; ",SUBSTITUTE(AF510,"."," ")," &amp; ",AL510," &amp; ",AM510," \\"),"")</f>
        <v>YICDUL &amp; \ce{C7 H7 F1} &amp; 3-fluorotoluene &amp; 1 &amp; 6 \\</v>
      </c>
    </row>
    <row r="511" spans="1:40" x14ac:dyDescent="0.2">
      <c r="A511" s="4" t="s">
        <v>1068</v>
      </c>
      <c r="B511" t="s">
        <v>355</v>
      </c>
      <c r="C511">
        <v>2</v>
      </c>
      <c r="D511" t="s">
        <v>357</v>
      </c>
      <c r="E511" t="s">
        <v>357</v>
      </c>
      <c r="F511" t="s">
        <v>8</v>
      </c>
      <c r="G511" s="4" t="s">
        <v>1813</v>
      </c>
      <c r="H511" t="s">
        <v>830</v>
      </c>
      <c r="I511" t="s">
        <v>1538</v>
      </c>
      <c r="J511" t="s">
        <v>1363</v>
      </c>
      <c r="K511" t="s">
        <v>861</v>
      </c>
      <c r="L511" t="s">
        <v>1806</v>
      </c>
      <c r="M511" t="s">
        <v>1804</v>
      </c>
      <c r="N511">
        <v>2013</v>
      </c>
      <c r="O511" t="s">
        <v>830</v>
      </c>
      <c r="P511" t="s">
        <v>1810</v>
      </c>
      <c r="Q511" t="s">
        <v>830</v>
      </c>
      <c r="T511" t="s">
        <v>830</v>
      </c>
      <c r="U511" t="s">
        <v>830</v>
      </c>
      <c r="W511" t="s">
        <v>1820</v>
      </c>
      <c r="X511" t="s">
        <v>1831</v>
      </c>
      <c r="Y511" t="s">
        <v>830</v>
      </c>
      <c r="Z511">
        <v>2</v>
      </c>
      <c r="AA511">
        <v>1289</v>
      </c>
      <c r="AB511">
        <v>53.58</v>
      </c>
      <c r="AC511" t="str">
        <f t="shared" si="47"/>
        <v/>
      </c>
      <c r="AE511" t="str">
        <f t="shared" si="41"/>
        <v/>
      </c>
      <c r="AI511" t="str">
        <f t="shared" si="42"/>
        <v/>
      </c>
      <c r="AJ511" t="str">
        <f t="shared" si="43"/>
        <v/>
      </c>
      <c r="AN511" t="str">
        <f>IF(AM511&lt;&gt;"",CONCATENATE(AC511," &amp; ",SUBSTITUTE(AJ511,","," ")," &amp; ",SUBSTITUTE(AF511,"."," ")," &amp; ",AL511," &amp; ",AM511," \\"),"")</f>
        <v/>
      </c>
    </row>
    <row r="512" spans="1:40" x14ac:dyDescent="0.2">
      <c r="A512" s="4" t="s">
        <v>1068</v>
      </c>
      <c r="B512" t="s">
        <v>355</v>
      </c>
      <c r="C512">
        <v>3</v>
      </c>
      <c r="D512" t="s">
        <v>357</v>
      </c>
      <c r="E512" t="s">
        <v>357</v>
      </c>
      <c r="F512" t="s">
        <v>8</v>
      </c>
      <c r="G512" s="4" t="s">
        <v>1813</v>
      </c>
      <c r="H512" t="s">
        <v>830</v>
      </c>
      <c r="I512" t="s">
        <v>1538</v>
      </c>
      <c r="J512" t="s">
        <v>1364</v>
      </c>
      <c r="K512" t="s">
        <v>861</v>
      </c>
      <c r="L512" t="s">
        <v>1807</v>
      </c>
      <c r="M512" t="s">
        <v>1804</v>
      </c>
      <c r="N512">
        <v>2013</v>
      </c>
      <c r="O512" t="s">
        <v>830</v>
      </c>
      <c r="P512" t="s">
        <v>1810</v>
      </c>
      <c r="Q512" t="s">
        <v>830</v>
      </c>
      <c r="T512" t="s">
        <v>830</v>
      </c>
      <c r="U512" t="s">
        <v>830</v>
      </c>
      <c r="W512" t="s">
        <v>1820</v>
      </c>
      <c r="X512" t="s">
        <v>1823</v>
      </c>
      <c r="Y512" t="s">
        <v>830</v>
      </c>
      <c r="Z512">
        <v>2</v>
      </c>
      <c r="AA512">
        <v>1287</v>
      </c>
      <c r="AB512">
        <v>59.66</v>
      </c>
      <c r="AC512" t="str">
        <f t="shared" si="47"/>
        <v/>
      </c>
      <c r="AE512" t="str">
        <f t="shared" si="41"/>
        <v/>
      </c>
      <c r="AI512" t="str">
        <f t="shared" si="42"/>
        <v/>
      </c>
      <c r="AJ512" t="str">
        <f t="shared" si="43"/>
        <v/>
      </c>
      <c r="AN512" t="str">
        <f>IF(AM512&lt;&gt;"",CONCATENATE(AC512," &amp; ",SUBSTITUTE(AJ512,","," ")," &amp; ",SUBSTITUTE(AF512,"."," ")," &amp; ",AL512," &amp; ",AM512," \\"),"")</f>
        <v/>
      </c>
    </row>
    <row r="513" spans="1:40" x14ac:dyDescent="0.2">
      <c r="A513" s="4" t="s">
        <v>1068</v>
      </c>
      <c r="B513" t="s">
        <v>355</v>
      </c>
      <c r="C513">
        <v>4</v>
      </c>
      <c r="D513" t="s">
        <v>357</v>
      </c>
      <c r="E513" t="s">
        <v>357</v>
      </c>
      <c r="F513" t="s">
        <v>8</v>
      </c>
      <c r="G513" s="4" t="s">
        <v>1813</v>
      </c>
      <c r="H513" t="s">
        <v>830</v>
      </c>
      <c r="I513" t="s">
        <v>1538</v>
      </c>
      <c r="J513" t="s">
        <v>1365</v>
      </c>
      <c r="K513" t="s">
        <v>861</v>
      </c>
      <c r="L513" t="s">
        <v>1808</v>
      </c>
      <c r="M513" t="s">
        <v>1804</v>
      </c>
      <c r="N513">
        <v>2013</v>
      </c>
      <c r="O513" t="s">
        <v>830</v>
      </c>
      <c r="P513" t="s">
        <v>1810</v>
      </c>
      <c r="Q513" t="s">
        <v>830</v>
      </c>
      <c r="T513" t="s">
        <v>830</v>
      </c>
      <c r="U513" t="s">
        <v>830</v>
      </c>
      <c r="W513" t="s">
        <v>1820</v>
      </c>
      <c r="X513" t="s">
        <v>1832</v>
      </c>
      <c r="Y513" t="s">
        <v>830</v>
      </c>
      <c r="Z513">
        <v>2</v>
      </c>
      <c r="AA513">
        <v>1287</v>
      </c>
      <c r="AB513">
        <v>61.99</v>
      </c>
      <c r="AC513" t="str">
        <f t="shared" si="47"/>
        <v/>
      </c>
      <c r="AE513" t="str">
        <f t="shared" si="41"/>
        <v/>
      </c>
      <c r="AI513" t="str">
        <f t="shared" si="42"/>
        <v/>
      </c>
      <c r="AJ513" t="str">
        <f t="shared" si="43"/>
        <v/>
      </c>
      <c r="AN513" t="str">
        <f>IF(AM513&lt;&gt;"",CONCATENATE(AC513," &amp; ",SUBSTITUTE(AJ513,","," ")," &amp; ",SUBSTITUTE(AF513,"."," ")," &amp; ",AL513," &amp; ",AM513," \\"),"")</f>
        <v/>
      </c>
    </row>
    <row r="514" spans="1:40" x14ac:dyDescent="0.2">
      <c r="A514" s="4" t="s">
        <v>1068</v>
      </c>
      <c r="B514" t="s">
        <v>355</v>
      </c>
      <c r="C514">
        <v>5</v>
      </c>
      <c r="D514" t="s">
        <v>357</v>
      </c>
      <c r="E514" t="s">
        <v>357</v>
      </c>
      <c r="F514" t="s">
        <v>8</v>
      </c>
      <c r="G514" s="4" t="s">
        <v>1813</v>
      </c>
      <c r="H514" t="s">
        <v>830</v>
      </c>
      <c r="I514" t="s">
        <v>1538</v>
      </c>
      <c r="J514" t="s">
        <v>1366</v>
      </c>
      <c r="K514" t="s">
        <v>861</v>
      </c>
      <c r="L514" t="s">
        <v>1809</v>
      </c>
      <c r="M514" t="s">
        <v>1804</v>
      </c>
      <c r="N514">
        <v>2013</v>
      </c>
      <c r="O514" t="s">
        <v>830</v>
      </c>
      <c r="P514" t="s">
        <v>1810</v>
      </c>
      <c r="Q514" t="s">
        <v>830</v>
      </c>
      <c r="T514" t="s">
        <v>830</v>
      </c>
      <c r="U514" t="s">
        <v>830</v>
      </c>
      <c r="W514" t="s">
        <v>1820</v>
      </c>
      <c r="X514" t="s">
        <v>1833</v>
      </c>
      <c r="Y514" t="s">
        <v>830</v>
      </c>
      <c r="Z514">
        <v>2</v>
      </c>
      <c r="AA514">
        <v>1280</v>
      </c>
      <c r="AB514">
        <v>57.61</v>
      </c>
      <c r="AC514" t="str">
        <f t="shared" si="47"/>
        <v/>
      </c>
      <c r="AE514" t="str">
        <f t="shared" ref="AE514:AE555" si="48">IF(AC514="","",MID(X514,1,(FIND("_",X514))-1))</f>
        <v/>
      </c>
      <c r="AI514" t="str">
        <f t="shared" ref="AI514:AI555" si="49">IF(AC514="","",SUBSTITUTE(IF(MID(I514,1,5)="Yes, ",MID(I514,6,100),I514)," ",","))</f>
        <v/>
      </c>
      <c r="AJ514" t="str">
        <f t="shared" ref="AJ514:AJ555" si="50">IF(AC514="","",SUBSTITUTE(B514," ",","))</f>
        <v/>
      </c>
      <c r="AN514" t="str">
        <f>IF(AM514&lt;&gt;"",CONCATENATE(AC514," &amp; ",SUBSTITUTE(AJ514,","," ")," &amp; ",SUBSTITUTE(AF514,"."," ")," &amp; ",AL514," &amp; ",AM514," \\"),"")</f>
        <v/>
      </c>
    </row>
    <row r="515" spans="1:40" x14ac:dyDescent="0.2">
      <c r="A515" s="4" t="s">
        <v>1068</v>
      </c>
      <c r="B515" t="s">
        <v>355</v>
      </c>
      <c r="C515">
        <v>6</v>
      </c>
      <c r="D515" t="s">
        <v>357</v>
      </c>
      <c r="E515" t="s">
        <v>357</v>
      </c>
      <c r="F515" t="s">
        <v>8</v>
      </c>
      <c r="G515" s="4" t="s">
        <v>1813</v>
      </c>
      <c r="H515" t="s">
        <v>830</v>
      </c>
      <c r="I515" t="s">
        <v>1538</v>
      </c>
      <c r="J515" t="s">
        <v>1362</v>
      </c>
      <c r="K515" t="s">
        <v>861</v>
      </c>
      <c r="L515" t="s">
        <v>1815</v>
      </c>
      <c r="M515" t="s">
        <v>1804</v>
      </c>
      <c r="N515">
        <v>2013</v>
      </c>
      <c r="O515" t="s">
        <v>830</v>
      </c>
      <c r="P515" t="s">
        <v>1810</v>
      </c>
      <c r="Q515" t="s">
        <v>830</v>
      </c>
      <c r="T515" t="s">
        <v>830</v>
      </c>
      <c r="U515" t="s">
        <v>830</v>
      </c>
      <c r="W515" t="s">
        <v>1820</v>
      </c>
      <c r="X515" t="s">
        <v>1834</v>
      </c>
      <c r="Y515" t="s">
        <v>830</v>
      </c>
      <c r="Z515">
        <v>2</v>
      </c>
      <c r="AA515">
        <v>1287</v>
      </c>
      <c r="AB515">
        <v>13.22</v>
      </c>
      <c r="AC515" t="str">
        <f t="shared" si="47"/>
        <v/>
      </c>
      <c r="AE515" t="str">
        <f t="shared" si="48"/>
        <v/>
      </c>
      <c r="AI515" t="str">
        <f t="shared" si="49"/>
        <v/>
      </c>
      <c r="AJ515" t="str">
        <f t="shared" si="50"/>
        <v/>
      </c>
      <c r="AN515" t="str">
        <f>IF(AM515&lt;&gt;"",CONCATENATE(AC515," &amp; ",SUBSTITUTE(AJ515,","," ")," &amp; ",SUBSTITUTE(AF515,"."," ")," &amp; ",AL515," &amp; ",AM515," \\"),"")</f>
        <v/>
      </c>
    </row>
    <row r="516" spans="1:40" x14ac:dyDescent="0.2">
      <c r="A516" s="4" t="s">
        <v>1067</v>
      </c>
      <c r="B516" t="s">
        <v>355</v>
      </c>
      <c r="C516">
        <v>0</v>
      </c>
      <c r="D516" t="s">
        <v>356</v>
      </c>
      <c r="E516" t="s">
        <v>356</v>
      </c>
      <c r="F516" t="s">
        <v>8</v>
      </c>
      <c r="G516" s="4" t="s">
        <v>1812</v>
      </c>
      <c r="H516" t="s">
        <v>830</v>
      </c>
      <c r="I516" t="s">
        <v>1538</v>
      </c>
      <c r="J516" t="s">
        <v>1353</v>
      </c>
      <c r="K516" t="s">
        <v>861</v>
      </c>
      <c r="L516" t="s">
        <v>1805</v>
      </c>
      <c r="M516" t="s">
        <v>1804</v>
      </c>
      <c r="N516">
        <v>2013</v>
      </c>
      <c r="O516" t="s">
        <v>830</v>
      </c>
      <c r="P516" t="s">
        <v>1810</v>
      </c>
      <c r="Q516" t="s">
        <v>830</v>
      </c>
      <c r="T516" t="s">
        <v>830</v>
      </c>
      <c r="U516" t="s">
        <v>830</v>
      </c>
      <c r="W516" t="s">
        <v>1820</v>
      </c>
      <c r="X516" t="s">
        <v>1821</v>
      </c>
      <c r="Y516" t="s">
        <v>830</v>
      </c>
      <c r="Z516">
        <v>2</v>
      </c>
      <c r="AA516">
        <v>727</v>
      </c>
      <c r="AB516">
        <v>14.45</v>
      </c>
      <c r="AC516" t="str">
        <f t="shared" si="47"/>
        <v>YICFEX</v>
      </c>
      <c r="AD516" t="s">
        <v>3106</v>
      </c>
      <c r="AE516" t="str">
        <f t="shared" si="48"/>
        <v>2-fluorotoluene</v>
      </c>
      <c r="AF516" t="str">
        <f>AE516</f>
        <v>2-fluorotoluene</v>
      </c>
      <c r="AG516" s="15" t="s">
        <v>3128</v>
      </c>
      <c r="AH516" t="s">
        <v>2884</v>
      </c>
      <c r="AI516" t="str">
        <f t="shared" si="49"/>
        <v>CSD,version,5.44,with,Jun,and,Sep,2023,updates</v>
      </c>
      <c r="AJ516" t="str">
        <f t="shared" si="50"/>
        <v>C7,H7,F1</v>
      </c>
      <c r="AL516">
        <v>1</v>
      </c>
      <c r="AM516">
        <v>6</v>
      </c>
      <c r="AN516" t="str">
        <f>IF(AM516&lt;&gt;"",CONCATENATE(AC516," &amp; \ce{",SUBSTITUTE(AJ516,","," "),"} &amp; ",SUBSTITUTE(AF516,"."," ")," &amp; ",AL516," &amp; ",AM516," \\"),"")</f>
        <v>YICFEX &amp; \ce{C7 H7 F1} &amp; 2-fluorotoluene &amp; 1 &amp; 6 \\</v>
      </c>
    </row>
    <row r="517" spans="1:40" x14ac:dyDescent="0.2">
      <c r="A517" s="4" t="s">
        <v>1067</v>
      </c>
      <c r="B517" t="s">
        <v>355</v>
      </c>
      <c r="C517">
        <v>1</v>
      </c>
      <c r="D517" t="s">
        <v>356</v>
      </c>
      <c r="E517" t="s">
        <v>356</v>
      </c>
      <c r="F517" t="s">
        <v>8</v>
      </c>
      <c r="G517" s="4" t="s">
        <v>1812</v>
      </c>
      <c r="H517" t="s">
        <v>830</v>
      </c>
      <c r="I517" t="s">
        <v>1538</v>
      </c>
      <c r="J517" t="s">
        <v>1358</v>
      </c>
      <c r="K517" t="s">
        <v>861</v>
      </c>
      <c r="L517" t="s">
        <v>1811</v>
      </c>
      <c r="M517" t="s">
        <v>1804</v>
      </c>
      <c r="N517">
        <v>2013</v>
      </c>
      <c r="O517" t="s">
        <v>830</v>
      </c>
      <c r="P517" t="s">
        <v>1810</v>
      </c>
      <c r="Q517" t="s">
        <v>830</v>
      </c>
      <c r="T517" t="s">
        <v>830</v>
      </c>
      <c r="U517" t="s">
        <v>830</v>
      </c>
      <c r="W517" t="s">
        <v>1820</v>
      </c>
      <c r="X517" t="s">
        <v>1825</v>
      </c>
      <c r="Y517" t="s">
        <v>830</v>
      </c>
      <c r="Z517">
        <v>2</v>
      </c>
      <c r="AA517">
        <v>669</v>
      </c>
      <c r="AB517">
        <v>12.65</v>
      </c>
      <c r="AC517" t="str">
        <f t="shared" si="47"/>
        <v/>
      </c>
      <c r="AE517" t="str">
        <f t="shared" si="48"/>
        <v/>
      </c>
      <c r="AI517" t="str">
        <f t="shared" si="49"/>
        <v/>
      </c>
      <c r="AJ517" t="str">
        <f t="shared" si="50"/>
        <v/>
      </c>
      <c r="AN517" t="str">
        <f>IF(AM517&lt;&gt;"",CONCATENATE(AC517," &amp; ",SUBSTITUTE(AJ517,","," ")," &amp; ",SUBSTITUTE(AF517,"."," ")," &amp; ",AL517," &amp; ",AM517," \\"),"")</f>
        <v/>
      </c>
    </row>
    <row r="518" spans="1:40" x14ac:dyDescent="0.2">
      <c r="A518" s="4" t="s">
        <v>1067</v>
      </c>
      <c r="B518" t="s">
        <v>355</v>
      </c>
      <c r="C518">
        <v>2</v>
      </c>
      <c r="D518" t="s">
        <v>356</v>
      </c>
      <c r="E518" t="s">
        <v>356</v>
      </c>
      <c r="F518" t="s">
        <v>8</v>
      </c>
      <c r="G518" s="4" t="s">
        <v>1812</v>
      </c>
      <c r="H518" t="s">
        <v>830</v>
      </c>
      <c r="I518" t="s">
        <v>1538</v>
      </c>
      <c r="J518" t="s">
        <v>1354</v>
      </c>
      <c r="K518" t="s">
        <v>861</v>
      </c>
      <c r="L518" t="s">
        <v>1806</v>
      </c>
      <c r="M518" t="s">
        <v>1804</v>
      </c>
      <c r="N518">
        <v>2013</v>
      </c>
      <c r="O518" t="s">
        <v>830</v>
      </c>
      <c r="P518" t="s">
        <v>1810</v>
      </c>
      <c r="Q518" t="s">
        <v>830</v>
      </c>
      <c r="T518" t="s">
        <v>830</v>
      </c>
      <c r="U518" t="s">
        <v>830</v>
      </c>
      <c r="W518" t="s">
        <v>1820</v>
      </c>
      <c r="X518" t="s">
        <v>1822</v>
      </c>
      <c r="Y518" t="s">
        <v>830</v>
      </c>
      <c r="Z518">
        <v>2</v>
      </c>
      <c r="AA518">
        <v>685</v>
      </c>
      <c r="AB518">
        <v>15.28</v>
      </c>
      <c r="AC518" t="str">
        <f t="shared" si="47"/>
        <v/>
      </c>
      <c r="AE518" t="str">
        <f t="shared" si="48"/>
        <v/>
      </c>
      <c r="AI518" t="str">
        <f t="shared" si="49"/>
        <v/>
      </c>
      <c r="AJ518" t="str">
        <f t="shared" si="50"/>
        <v/>
      </c>
      <c r="AN518" t="str">
        <f>IF(AM518&lt;&gt;"",CONCATENATE(AC518," &amp; ",SUBSTITUTE(AJ518,","," ")," &amp; ",SUBSTITUTE(AF518,"."," ")," &amp; ",AL518," &amp; ",AM518," \\"),"")</f>
        <v/>
      </c>
    </row>
    <row r="519" spans="1:40" x14ac:dyDescent="0.2">
      <c r="A519" s="4" t="s">
        <v>1067</v>
      </c>
      <c r="B519" t="s">
        <v>355</v>
      </c>
      <c r="C519">
        <v>3</v>
      </c>
      <c r="D519" t="s">
        <v>356</v>
      </c>
      <c r="E519" t="s">
        <v>356</v>
      </c>
      <c r="F519" t="s">
        <v>8</v>
      </c>
      <c r="G519" s="4" t="s">
        <v>1812</v>
      </c>
      <c r="H519" t="s">
        <v>830</v>
      </c>
      <c r="I519" t="s">
        <v>1538</v>
      </c>
      <c r="J519" t="s">
        <v>1355</v>
      </c>
      <c r="K519" t="s">
        <v>861</v>
      </c>
      <c r="L519" t="s">
        <v>1807</v>
      </c>
      <c r="M519" t="s">
        <v>1804</v>
      </c>
      <c r="N519">
        <v>2013</v>
      </c>
      <c r="O519" t="s">
        <v>830</v>
      </c>
      <c r="P519" t="s">
        <v>1810</v>
      </c>
      <c r="Q519" t="s">
        <v>830</v>
      </c>
      <c r="T519" t="s">
        <v>830</v>
      </c>
      <c r="U519" t="s">
        <v>830</v>
      </c>
      <c r="W519" t="s">
        <v>1820</v>
      </c>
      <c r="X519" t="s">
        <v>1826</v>
      </c>
      <c r="Y519" t="s">
        <v>830</v>
      </c>
      <c r="Z519">
        <v>2</v>
      </c>
      <c r="AA519">
        <v>725</v>
      </c>
      <c r="AB519">
        <v>16.27</v>
      </c>
      <c r="AC519" t="str">
        <f t="shared" si="47"/>
        <v/>
      </c>
      <c r="AE519" t="str">
        <f t="shared" si="48"/>
        <v/>
      </c>
      <c r="AI519" t="str">
        <f t="shared" si="49"/>
        <v/>
      </c>
      <c r="AJ519" t="str">
        <f t="shared" si="50"/>
        <v/>
      </c>
      <c r="AN519" t="str">
        <f>IF(AM519&lt;&gt;"",CONCATENATE(AC519," &amp; ",SUBSTITUTE(AJ519,","," ")," &amp; ",SUBSTITUTE(AF519,"."," ")," &amp; ",AL519," &amp; ",AM519," \\"),"")</f>
        <v/>
      </c>
    </row>
    <row r="520" spans="1:40" x14ac:dyDescent="0.2">
      <c r="A520" s="4" t="s">
        <v>1067</v>
      </c>
      <c r="B520" t="s">
        <v>355</v>
      </c>
      <c r="C520">
        <v>4</v>
      </c>
      <c r="D520" t="s">
        <v>356</v>
      </c>
      <c r="E520" t="s">
        <v>356</v>
      </c>
      <c r="F520" t="s">
        <v>8</v>
      </c>
      <c r="G520" s="4" t="s">
        <v>1812</v>
      </c>
      <c r="H520" t="s">
        <v>830</v>
      </c>
      <c r="I520" t="s">
        <v>1538</v>
      </c>
      <c r="J520" t="s">
        <v>1356</v>
      </c>
      <c r="K520" t="s">
        <v>861</v>
      </c>
      <c r="L520" t="s">
        <v>1808</v>
      </c>
      <c r="M520" t="s">
        <v>1804</v>
      </c>
      <c r="N520">
        <v>2013</v>
      </c>
      <c r="O520" t="s">
        <v>830</v>
      </c>
      <c r="P520" t="s">
        <v>1810</v>
      </c>
      <c r="Q520" t="s">
        <v>830</v>
      </c>
      <c r="T520" t="s">
        <v>830</v>
      </c>
      <c r="U520" t="s">
        <v>830</v>
      </c>
      <c r="W520" t="s">
        <v>1820</v>
      </c>
      <c r="X520" t="s">
        <v>1827</v>
      </c>
      <c r="Y520" t="s">
        <v>830</v>
      </c>
      <c r="Z520">
        <v>2</v>
      </c>
      <c r="AA520">
        <v>727</v>
      </c>
      <c r="AB520">
        <v>17.16</v>
      </c>
      <c r="AC520" t="str">
        <f t="shared" si="47"/>
        <v/>
      </c>
      <c r="AE520" t="str">
        <f t="shared" si="48"/>
        <v/>
      </c>
      <c r="AI520" t="str">
        <f t="shared" si="49"/>
        <v/>
      </c>
      <c r="AJ520" t="str">
        <f t="shared" si="50"/>
        <v/>
      </c>
      <c r="AN520" t="str">
        <f>IF(AM520&lt;&gt;"",CONCATENATE(AC520," &amp; ",SUBSTITUTE(AJ520,","," ")," &amp; ",SUBSTITUTE(AF520,"."," ")," &amp; ",AL520," &amp; ",AM520," \\"),"")</f>
        <v/>
      </c>
    </row>
    <row r="521" spans="1:40" x14ac:dyDescent="0.2">
      <c r="A521" s="4" t="s">
        <v>1067</v>
      </c>
      <c r="B521" t="s">
        <v>355</v>
      </c>
      <c r="C521">
        <v>5</v>
      </c>
      <c r="D521" t="s">
        <v>356</v>
      </c>
      <c r="E521" t="s">
        <v>356</v>
      </c>
      <c r="F521" t="s">
        <v>8</v>
      </c>
      <c r="G521" s="4" t="s">
        <v>1812</v>
      </c>
      <c r="H521" t="s">
        <v>830</v>
      </c>
      <c r="I521" t="s">
        <v>1538</v>
      </c>
      <c r="J521" t="s">
        <v>1357</v>
      </c>
      <c r="K521" t="s">
        <v>861</v>
      </c>
      <c r="L521" t="s">
        <v>1809</v>
      </c>
      <c r="M521" t="s">
        <v>1804</v>
      </c>
      <c r="N521">
        <v>2013</v>
      </c>
      <c r="O521" t="s">
        <v>830</v>
      </c>
      <c r="P521" t="s">
        <v>1810</v>
      </c>
      <c r="Q521" t="s">
        <v>830</v>
      </c>
      <c r="T521" t="s">
        <v>830</v>
      </c>
      <c r="U521" t="s">
        <v>830</v>
      </c>
      <c r="W521" t="s">
        <v>1820</v>
      </c>
      <c r="X521" t="s">
        <v>1828</v>
      </c>
      <c r="Y521" t="s">
        <v>830</v>
      </c>
      <c r="Z521">
        <v>2</v>
      </c>
      <c r="AA521">
        <v>726</v>
      </c>
      <c r="AB521">
        <v>18.13</v>
      </c>
      <c r="AC521" t="str">
        <f t="shared" si="47"/>
        <v/>
      </c>
      <c r="AE521" t="str">
        <f t="shared" si="48"/>
        <v/>
      </c>
      <c r="AI521" t="str">
        <f t="shared" si="49"/>
        <v/>
      </c>
      <c r="AJ521" t="str">
        <f t="shared" si="50"/>
        <v/>
      </c>
      <c r="AN521" t="str">
        <f>IF(AM521&lt;&gt;"",CONCATENATE(AC521," &amp; ",SUBSTITUTE(AJ521,","," ")," &amp; ",SUBSTITUTE(AF521,"."," ")," &amp; ",AL521," &amp; ",AM521," \\"),"")</f>
        <v/>
      </c>
    </row>
    <row r="522" spans="1:40" x14ac:dyDescent="0.2">
      <c r="A522" t="s">
        <v>796</v>
      </c>
      <c r="B522" t="s">
        <v>626</v>
      </c>
      <c r="C522">
        <v>10</v>
      </c>
      <c r="D522" t="s">
        <v>797</v>
      </c>
      <c r="E522" t="s">
        <v>798</v>
      </c>
      <c r="F522" t="s">
        <v>8</v>
      </c>
      <c r="G522" t="s">
        <v>796</v>
      </c>
      <c r="H522" s="4" t="s">
        <v>830</v>
      </c>
      <c r="I522" t="s">
        <v>1952</v>
      </c>
      <c r="J522" t="s">
        <v>1406</v>
      </c>
      <c r="K522" t="s">
        <v>842</v>
      </c>
      <c r="L522" s="4" t="s">
        <v>2004</v>
      </c>
      <c r="M522" s="4" t="s">
        <v>887</v>
      </c>
      <c r="N522">
        <v>2018</v>
      </c>
      <c r="O522" s="4" t="s">
        <v>830</v>
      </c>
      <c r="P522" t="s">
        <v>2007</v>
      </c>
      <c r="Q522" t="s">
        <v>830</v>
      </c>
      <c r="T522" t="s">
        <v>830</v>
      </c>
      <c r="U522" t="s">
        <v>830</v>
      </c>
      <c r="W522" t="s">
        <v>2002</v>
      </c>
      <c r="X522" t="s">
        <v>2014</v>
      </c>
      <c r="Y522" t="s">
        <v>830</v>
      </c>
      <c r="Z522">
        <v>1</v>
      </c>
      <c r="AA522">
        <v>98</v>
      </c>
      <c r="AB522">
        <v>17.242999999999999</v>
      </c>
      <c r="AC522" t="str">
        <f t="shared" si="47"/>
        <v>YULGIW</v>
      </c>
      <c r="AD522" t="s">
        <v>3302</v>
      </c>
      <c r="AE522" t="str">
        <f t="shared" si="48"/>
        <v>CMebendazole</v>
      </c>
      <c r="AF522" t="s">
        <v>3289</v>
      </c>
      <c r="AG522" s="15" t="s">
        <v>2885</v>
      </c>
      <c r="AH522" t="s">
        <v>2956</v>
      </c>
      <c r="AI522" t="str">
        <f t="shared" si="49"/>
        <v>CSD,version,6.01</v>
      </c>
      <c r="AJ522" t="str">
        <f t="shared" si="50"/>
        <v>C16,H13,N3,O3</v>
      </c>
      <c r="AL522">
        <v>2</v>
      </c>
      <c r="AM522">
        <v>5</v>
      </c>
      <c r="AN522" t="str">
        <f>IF(AM522&lt;&gt;"",CONCATENATE(AC522," &amp; \ce{",SUBSTITUTE(AJ522,","," "),"} &amp; ",SUBSTITUTE(AF522,"."," ")," &amp; ",AL522," &amp; ",AM522," \\"),"")</f>
        <v>YULGIW &amp; \ce{C16 H13 N3 O3} &amp; C-Mebendazole &amp; 2 &amp; 5 \\</v>
      </c>
    </row>
    <row r="523" spans="1:40" x14ac:dyDescent="0.2">
      <c r="A523" t="s">
        <v>796</v>
      </c>
      <c r="B523" t="s">
        <v>626</v>
      </c>
      <c r="C523">
        <v>11</v>
      </c>
      <c r="D523" t="s">
        <v>797</v>
      </c>
      <c r="E523" t="s">
        <v>798</v>
      </c>
      <c r="F523" t="s">
        <v>8</v>
      </c>
      <c r="G523" t="s">
        <v>796</v>
      </c>
      <c r="H523" s="4" t="s">
        <v>830</v>
      </c>
      <c r="I523" t="s">
        <v>1952</v>
      </c>
      <c r="J523" t="s">
        <v>1410</v>
      </c>
      <c r="K523" t="s">
        <v>842</v>
      </c>
      <c r="L523" s="4" t="s">
        <v>2003</v>
      </c>
      <c r="M523" s="4" t="s">
        <v>887</v>
      </c>
      <c r="N523">
        <v>2018</v>
      </c>
      <c r="O523" s="4" t="s">
        <v>830</v>
      </c>
      <c r="P523" t="s">
        <v>2007</v>
      </c>
      <c r="Q523" t="s">
        <v>830</v>
      </c>
      <c r="T523" t="s">
        <v>830</v>
      </c>
      <c r="U523" t="s">
        <v>830</v>
      </c>
      <c r="W523" t="s">
        <v>2002</v>
      </c>
      <c r="X523" t="s">
        <v>2015</v>
      </c>
      <c r="Y523" t="s">
        <v>830</v>
      </c>
      <c r="Z523">
        <v>1</v>
      </c>
      <c r="AA523">
        <v>532</v>
      </c>
      <c r="AB523">
        <v>73.861999999999995</v>
      </c>
      <c r="AC523" t="str">
        <f t="shared" si="47"/>
        <v/>
      </c>
      <c r="AE523" t="str">
        <f t="shared" si="48"/>
        <v/>
      </c>
      <c r="AI523" t="str">
        <f t="shared" si="49"/>
        <v/>
      </c>
      <c r="AJ523" t="str">
        <f t="shared" si="50"/>
        <v/>
      </c>
      <c r="AN523" t="str">
        <f>IF(AM523&lt;&gt;"",CONCATENATE(AC523," &amp; ",SUBSTITUTE(AJ523,","," ")," &amp; ",SUBSTITUTE(AF523,"."," ")," &amp; ",AL523," &amp; ",AM523," \\"),"")</f>
        <v/>
      </c>
    </row>
    <row r="524" spans="1:40" x14ac:dyDescent="0.2">
      <c r="A524" t="s">
        <v>796</v>
      </c>
      <c r="B524" t="s">
        <v>626</v>
      </c>
      <c r="C524">
        <v>12</v>
      </c>
      <c r="D524" t="s">
        <v>797</v>
      </c>
      <c r="E524" t="s">
        <v>798</v>
      </c>
      <c r="F524" t="s">
        <v>8</v>
      </c>
      <c r="G524" t="s">
        <v>796</v>
      </c>
      <c r="H524" s="4" t="s">
        <v>830</v>
      </c>
      <c r="I524" t="s">
        <v>1952</v>
      </c>
      <c r="J524" t="s">
        <v>1408</v>
      </c>
      <c r="K524" t="s">
        <v>842</v>
      </c>
      <c r="L524" t="s">
        <v>2005</v>
      </c>
      <c r="M524" s="4" t="s">
        <v>887</v>
      </c>
      <c r="N524">
        <v>2018</v>
      </c>
      <c r="O524" t="s">
        <v>830</v>
      </c>
      <c r="P524" t="s">
        <v>2007</v>
      </c>
      <c r="Q524" t="s">
        <v>830</v>
      </c>
      <c r="T524" t="s">
        <v>830</v>
      </c>
      <c r="U524" t="s">
        <v>830</v>
      </c>
      <c r="W524" t="s">
        <v>2002</v>
      </c>
      <c r="X524" t="s">
        <v>2016</v>
      </c>
      <c r="Y524" t="s">
        <v>830</v>
      </c>
      <c r="Z524">
        <v>1</v>
      </c>
      <c r="AA524">
        <v>96</v>
      </c>
      <c r="AB524">
        <v>20.96</v>
      </c>
      <c r="AC524" t="str">
        <f t="shared" si="47"/>
        <v/>
      </c>
      <c r="AE524" t="str">
        <f t="shared" si="48"/>
        <v/>
      </c>
      <c r="AI524" t="str">
        <f t="shared" si="49"/>
        <v/>
      </c>
      <c r="AJ524" t="str">
        <f t="shared" si="50"/>
        <v/>
      </c>
      <c r="AN524" t="str">
        <f>IF(AM524&lt;&gt;"",CONCATENATE(AC524," &amp; ",SUBSTITUTE(AJ524,","," ")," &amp; ",SUBSTITUTE(AF524,"."," ")," &amp; ",AL524," &amp; ",AM524," \\"),"")</f>
        <v/>
      </c>
    </row>
    <row r="525" spans="1:40" x14ac:dyDescent="0.2">
      <c r="A525" t="s">
        <v>796</v>
      </c>
      <c r="B525" t="s">
        <v>626</v>
      </c>
      <c r="C525">
        <v>30</v>
      </c>
      <c r="D525" t="s">
        <v>797</v>
      </c>
      <c r="E525" t="s">
        <v>798</v>
      </c>
      <c r="F525" t="s">
        <v>8</v>
      </c>
      <c r="G525" t="s">
        <v>796</v>
      </c>
      <c r="H525" s="4" t="s">
        <v>830</v>
      </c>
      <c r="I525" t="s">
        <v>1952</v>
      </c>
      <c r="J525" t="s">
        <v>1407</v>
      </c>
      <c r="K525" t="s">
        <v>842</v>
      </c>
      <c r="L525" t="s">
        <v>1484</v>
      </c>
      <c r="M525" t="s">
        <v>889</v>
      </c>
      <c r="N525">
        <v>2018</v>
      </c>
      <c r="O525" t="s">
        <v>830</v>
      </c>
      <c r="P525" t="s">
        <v>2007</v>
      </c>
      <c r="Q525" t="s">
        <v>830</v>
      </c>
      <c r="T525" t="s">
        <v>830</v>
      </c>
      <c r="U525" t="s">
        <v>830</v>
      </c>
      <c r="W525" t="s">
        <v>2002</v>
      </c>
      <c r="X525" t="s">
        <v>2017</v>
      </c>
      <c r="Y525" t="s">
        <v>830</v>
      </c>
      <c r="Z525">
        <v>1</v>
      </c>
      <c r="AA525">
        <v>99</v>
      </c>
      <c r="AB525">
        <v>30</v>
      </c>
      <c r="AC525" t="str">
        <f t="shared" si="47"/>
        <v/>
      </c>
      <c r="AE525" t="str">
        <f t="shared" si="48"/>
        <v/>
      </c>
      <c r="AI525" t="str">
        <f t="shared" si="49"/>
        <v/>
      </c>
      <c r="AJ525" t="str">
        <f t="shared" si="50"/>
        <v/>
      </c>
      <c r="AN525" t="str">
        <f>IF(AM525&lt;&gt;"",CONCATENATE(AC525," &amp; ",SUBSTITUTE(AJ525,","," ")," &amp; ",SUBSTITUTE(AF525,"."," ")," &amp; ",AL525," &amp; ",AM525," \\"),"")</f>
        <v/>
      </c>
    </row>
    <row r="526" spans="1:40" x14ac:dyDescent="0.2">
      <c r="A526" t="s">
        <v>796</v>
      </c>
      <c r="B526" t="s">
        <v>626</v>
      </c>
      <c r="C526">
        <v>60</v>
      </c>
      <c r="D526" t="s">
        <v>797</v>
      </c>
      <c r="E526" t="s">
        <v>798</v>
      </c>
      <c r="F526" t="s">
        <v>8</v>
      </c>
      <c r="G526" t="s">
        <v>796</v>
      </c>
      <c r="H526" s="4" t="s">
        <v>830</v>
      </c>
      <c r="I526" t="s">
        <v>1952</v>
      </c>
      <c r="J526" t="s">
        <v>1385</v>
      </c>
      <c r="K526" t="s">
        <v>842</v>
      </c>
      <c r="L526" t="s">
        <v>2006</v>
      </c>
      <c r="M526" s="2" t="s">
        <v>888</v>
      </c>
      <c r="N526">
        <v>2018</v>
      </c>
      <c r="O526" t="s">
        <v>830</v>
      </c>
      <c r="P526" t="s">
        <v>2007</v>
      </c>
      <c r="Q526" t="s">
        <v>830</v>
      </c>
      <c r="T526" t="s">
        <v>830</v>
      </c>
      <c r="U526" t="s">
        <v>830</v>
      </c>
      <c r="W526" t="s">
        <v>2002</v>
      </c>
      <c r="X526" t="s">
        <v>2013</v>
      </c>
      <c r="Y526" t="s">
        <v>830</v>
      </c>
      <c r="Z526">
        <v>1</v>
      </c>
      <c r="AA526">
        <v>240</v>
      </c>
      <c r="AB526">
        <v>18.122</v>
      </c>
      <c r="AC526" t="str">
        <f t="shared" si="47"/>
        <v/>
      </c>
      <c r="AE526" t="str">
        <f t="shared" si="48"/>
        <v/>
      </c>
      <c r="AI526" t="str">
        <f t="shared" si="49"/>
        <v/>
      </c>
      <c r="AJ526" t="str">
        <f t="shared" si="50"/>
        <v/>
      </c>
      <c r="AN526" t="str">
        <f>IF(AM526&lt;&gt;"",CONCATENATE(AC526," &amp; ",SUBSTITUTE(AJ526,","," ")," &amp; ",SUBSTITUTE(AF526,"."," ")," &amp; ",AL526," &amp; ",AM526," \\"),"")</f>
        <v/>
      </c>
    </row>
    <row r="527" spans="1:40" ht="15" x14ac:dyDescent="0.25">
      <c r="A527" s="4" t="s">
        <v>831</v>
      </c>
      <c r="B527" s="17" t="s">
        <v>3041</v>
      </c>
      <c r="C527">
        <v>10</v>
      </c>
      <c r="D527" t="s">
        <v>638</v>
      </c>
      <c r="E527" t="s">
        <v>639</v>
      </c>
      <c r="F527" t="s">
        <v>8</v>
      </c>
      <c r="G527" t="s">
        <v>831</v>
      </c>
      <c r="H527" t="s">
        <v>830</v>
      </c>
      <c r="I527" t="s">
        <v>2385</v>
      </c>
      <c r="J527" t="s">
        <v>1271</v>
      </c>
      <c r="K527" t="s">
        <v>898</v>
      </c>
      <c r="L527" t="s">
        <v>1667</v>
      </c>
      <c r="M527" t="s">
        <v>887</v>
      </c>
      <c r="N527">
        <v>2011</v>
      </c>
      <c r="O527" t="s">
        <v>830</v>
      </c>
      <c r="P527" t="s">
        <v>2502</v>
      </c>
      <c r="Q527" t="s">
        <v>830</v>
      </c>
      <c r="T527" t="s">
        <v>830</v>
      </c>
      <c r="U527" t="s">
        <v>830</v>
      </c>
      <c r="W527" t="s">
        <v>2499</v>
      </c>
      <c r="X527" t="s">
        <v>2517</v>
      </c>
      <c r="Y527" t="s">
        <v>830</v>
      </c>
      <c r="Z527">
        <v>1</v>
      </c>
      <c r="AA527">
        <v>33</v>
      </c>
      <c r="AB527">
        <v>4.5949999999999998</v>
      </c>
      <c r="AC527" t="str">
        <f t="shared" si="47"/>
        <v>YUXGUV</v>
      </c>
      <c r="AD527" t="s">
        <v>3283</v>
      </c>
      <c r="AE527" t="str">
        <f t="shared" si="48"/>
        <v>bResorcylicAcidMonohydrate</v>
      </c>
      <c r="AF527" t="s">
        <v>3246</v>
      </c>
      <c r="AG527" s="15" t="s">
        <v>2889</v>
      </c>
      <c r="AH527" t="s">
        <v>2923</v>
      </c>
      <c r="AI527" t="str">
        <f t="shared" si="49"/>
        <v>CSD,version,6.01,with,Feb,2026,update</v>
      </c>
      <c r="AJ527" t="str">
        <f t="shared" si="50"/>
        <v>C7,H6,O4,.,H2,O1</v>
      </c>
      <c r="AL527">
        <v>1</v>
      </c>
      <c r="AM527">
        <v>3</v>
      </c>
      <c r="AN527" t="str">
        <f>IF(AM527&lt;&gt;"",CONCATENATE(AC527," &amp; \ce{",SUBSTITUTE(AJ527,","," "),"} &amp; ",SUBSTITUTE(AF527,"."," ")," &amp; ",AL527," &amp; ",AM527," \\"),"")</f>
        <v>YUXGUV &amp; \ce{C7 H6 O4 . H2 O1} &amp; beta-Resorcylic Acid Monohydrate &amp; 1 &amp; 3 \\</v>
      </c>
    </row>
    <row r="528" spans="1:40" ht="15" x14ac:dyDescent="0.25">
      <c r="A528" s="4" t="s">
        <v>831</v>
      </c>
      <c r="B528" s="17" t="s">
        <v>3041</v>
      </c>
      <c r="C528">
        <v>20</v>
      </c>
      <c r="D528" t="s">
        <v>638</v>
      </c>
      <c r="E528" t="s">
        <v>639</v>
      </c>
      <c r="F528" t="s">
        <v>8</v>
      </c>
      <c r="G528" t="s">
        <v>831</v>
      </c>
      <c r="H528" t="s">
        <v>830</v>
      </c>
      <c r="I528" t="s">
        <v>2385</v>
      </c>
      <c r="J528" t="s">
        <v>2406</v>
      </c>
      <c r="K528" t="s">
        <v>898</v>
      </c>
      <c r="L528" t="s">
        <v>2233</v>
      </c>
      <c r="M528" t="s">
        <v>887</v>
      </c>
      <c r="N528">
        <v>2011</v>
      </c>
      <c r="O528" t="s">
        <v>830</v>
      </c>
      <c r="P528" t="s">
        <v>2502</v>
      </c>
      <c r="Q528" t="s">
        <v>830</v>
      </c>
      <c r="T528" t="s">
        <v>830</v>
      </c>
      <c r="U528" t="s">
        <v>830</v>
      </c>
      <c r="W528" t="s">
        <v>2499</v>
      </c>
      <c r="X528" t="s">
        <v>2518</v>
      </c>
      <c r="Y528" t="s">
        <v>830</v>
      </c>
      <c r="Z528">
        <v>1</v>
      </c>
      <c r="AA528">
        <f>11725+5109</f>
        <v>16834</v>
      </c>
      <c r="AB528">
        <v>103.29900000000001</v>
      </c>
      <c r="AC528" t="str">
        <f t="shared" si="47"/>
        <v/>
      </c>
      <c r="AE528" t="str">
        <f t="shared" si="48"/>
        <v/>
      </c>
      <c r="AI528" t="str">
        <f t="shared" si="49"/>
        <v/>
      </c>
      <c r="AJ528" t="str">
        <f t="shared" si="50"/>
        <v/>
      </c>
      <c r="AN528" t="str">
        <f>IF(AM528&lt;&gt;"",CONCATENATE(AC528," &amp; ",SUBSTITUTE(AJ528,","," ")," &amp; ",SUBSTITUTE(AF528,"."," ")," &amp; ",AL528," &amp; ",AM528," \\"),"")</f>
        <v/>
      </c>
    </row>
    <row r="529" spans="1:40" ht="15" x14ac:dyDescent="0.25">
      <c r="A529" s="4" t="s">
        <v>831</v>
      </c>
      <c r="B529" s="17" t="s">
        <v>3041</v>
      </c>
      <c r="C529">
        <v>30</v>
      </c>
      <c r="D529" t="s">
        <v>640</v>
      </c>
      <c r="E529" t="s">
        <v>641</v>
      </c>
      <c r="F529" t="s">
        <v>8</v>
      </c>
      <c r="G529" t="s">
        <v>831</v>
      </c>
      <c r="H529" t="s">
        <v>830</v>
      </c>
      <c r="I529" t="s">
        <v>2385</v>
      </c>
      <c r="J529" t="s">
        <v>1272</v>
      </c>
      <c r="K529" t="s">
        <v>898</v>
      </c>
      <c r="L529" t="s">
        <v>1527</v>
      </c>
      <c r="M529" t="s">
        <v>2509</v>
      </c>
      <c r="N529">
        <v>2011</v>
      </c>
      <c r="O529" t="s">
        <v>830</v>
      </c>
      <c r="P529" t="s">
        <v>2502</v>
      </c>
      <c r="Q529" t="s">
        <v>830</v>
      </c>
      <c r="T529" t="s">
        <v>830</v>
      </c>
      <c r="U529" t="s">
        <v>830</v>
      </c>
      <c r="W529" t="s">
        <v>2499</v>
      </c>
      <c r="X529" t="s">
        <v>2519</v>
      </c>
      <c r="Y529" t="s">
        <v>830</v>
      </c>
      <c r="Z529">
        <v>1</v>
      </c>
      <c r="AA529">
        <v>29</v>
      </c>
      <c r="AB529">
        <v>15.789</v>
      </c>
      <c r="AC529" t="str">
        <f t="shared" si="47"/>
        <v/>
      </c>
      <c r="AE529" t="str">
        <f t="shared" si="48"/>
        <v/>
      </c>
      <c r="AI529" t="str">
        <f t="shared" si="49"/>
        <v/>
      </c>
      <c r="AJ529" t="str">
        <f t="shared" si="50"/>
        <v/>
      </c>
      <c r="AN529" t="str">
        <f>IF(AM529&lt;&gt;"",CONCATENATE(AC529," &amp; ",SUBSTITUTE(AJ529,","," ")," &amp; ",SUBSTITUTE(AF529,"."," ")," &amp; ",AL529," &amp; ",AM529," \\"),"")</f>
        <v/>
      </c>
    </row>
    <row r="530" spans="1:40" x14ac:dyDescent="0.2">
      <c r="A530" t="s">
        <v>1075</v>
      </c>
      <c r="B530" t="s">
        <v>542</v>
      </c>
      <c r="C530">
        <v>10</v>
      </c>
      <c r="D530" t="s">
        <v>543</v>
      </c>
      <c r="E530" t="s">
        <v>543</v>
      </c>
      <c r="F530" t="s">
        <v>8</v>
      </c>
      <c r="G530" t="s">
        <v>1075</v>
      </c>
      <c r="H530" s="4" t="s">
        <v>830</v>
      </c>
      <c r="I530" t="s">
        <v>2385</v>
      </c>
      <c r="J530" t="s">
        <v>1263</v>
      </c>
      <c r="K530" t="s">
        <v>864</v>
      </c>
      <c r="L530" t="s">
        <v>2784</v>
      </c>
      <c r="M530" t="s">
        <v>887</v>
      </c>
      <c r="N530">
        <v>2012</v>
      </c>
      <c r="O530" t="s">
        <v>830</v>
      </c>
      <c r="P530" t="s">
        <v>887</v>
      </c>
      <c r="Q530" t="s">
        <v>830</v>
      </c>
      <c r="T530" s="4" t="s">
        <v>830</v>
      </c>
      <c r="U530" s="4" t="s">
        <v>830</v>
      </c>
      <c r="W530" t="s">
        <v>2836</v>
      </c>
      <c r="X530" s="4" t="s">
        <v>2807</v>
      </c>
      <c r="Y530" t="s">
        <v>830</v>
      </c>
      <c r="Z530">
        <v>1</v>
      </c>
      <c r="AA530">
        <v>121</v>
      </c>
      <c r="AB530">
        <v>19.428000000000001</v>
      </c>
      <c r="AC530" t="str">
        <f t="shared" si="47"/>
        <v>ZECWOV</v>
      </c>
      <c r="AD530" t="s">
        <v>3290</v>
      </c>
      <c r="AE530" t="str">
        <f t="shared" si="48"/>
        <v>BenzylTetrazole</v>
      </c>
      <c r="AF530" t="s">
        <v>3291</v>
      </c>
      <c r="AG530" s="15" t="s">
        <v>2887</v>
      </c>
      <c r="AH530" t="s">
        <v>2888</v>
      </c>
      <c r="AI530" t="str">
        <f t="shared" si="49"/>
        <v>CSD,version,6.01,with,Feb,2026,update</v>
      </c>
      <c r="AJ530" t="str">
        <f t="shared" si="50"/>
        <v>C8,H8,N4</v>
      </c>
      <c r="AL530">
        <v>1</v>
      </c>
      <c r="AM530">
        <v>2</v>
      </c>
      <c r="AN530" t="str">
        <f>IF(AM530&lt;&gt;"",CONCATENATE(AC530," &amp; \ce{",SUBSTITUTE(AJ530,","," "),"} &amp; ",SUBSTITUTE(AF530,"."," ")," &amp; ",AL530," &amp; ",AM530," \\"),"")</f>
        <v>ZECWOV &amp; \ce{C8 H8 N4} &amp; Benzyl Tetrazole &amp; 1 &amp; 2 \\</v>
      </c>
    </row>
    <row r="531" spans="1:40" x14ac:dyDescent="0.2">
      <c r="A531" t="s">
        <v>1075</v>
      </c>
      <c r="B531" t="s">
        <v>542</v>
      </c>
      <c r="C531">
        <v>30</v>
      </c>
      <c r="D531" t="s">
        <v>543</v>
      </c>
      <c r="E531" t="s">
        <v>543</v>
      </c>
      <c r="F531" t="s">
        <v>8</v>
      </c>
      <c r="G531" t="s">
        <v>1075</v>
      </c>
      <c r="H531" s="4" t="s">
        <v>830</v>
      </c>
      <c r="I531" t="s">
        <v>2385</v>
      </c>
      <c r="J531" t="s">
        <v>1264</v>
      </c>
      <c r="K531" t="s">
        <v>864</v>
      </c>
      <c r="L531" t="s">
        <v>1513</v>
      </c>
      <c r="M531" t="s">
        <v>904</v>
      </c>
      <c r="N531">
        <v>2012</v>
      </c>
      <c r="O531" t="s">
        <v>830</v>
      </c>
      <c r="P531" t="s">
        <v>2806</v>
      </c>
      <c r="Q531" t="s">
        <v>830</v>
      </c>
      <c r="T531" s="4" t="s">
        <v>830</v>
      </c>
      <c r="U531" s="4" t="s">
        <v>830</v>
      </c>
      <c r="W531" t="s">
        <v>2836</v>
      </c>
      <c r="X531" s="4" t="s">
        <v>2808</v>
      </c>
      <c r="Y531" t="s">
        <v>830</v>
      </c>
      <c r="Z531">
        <v>1</v>
      </c>
      <c r="AA531">
        <v>72</v>
      </c>
      <c r="AB531">
        <v>24.689</v>
      </c>
      <c r="AC531" t="str">
        <f t="shared" si="47"/>
        <v/>
      </c>
      <c r="AE531" t="str">
        <f t="shared" si="48"/>
        <v/>
      </c>
      <c r="AI531" t="str">
        <f t="shared" si="49"/>
        <v/>
      </c>
      <c r="AJ531" t="str">
        <f t="shared" si="50"/>
        <v/>
      </c>
      <c r="AN531" t="str">
        <f>IF(AM531&lt;&gt;"",CONCATENATE(AC531," &amp; ",SUBSTITUTE(AJ531,","," ")," &amp; ",SUBSTITUTE(AF531,"."," ")," &amp; ",AL531," &amp; ",AM531," \\"),"")</f>
        <v/>
      </c>
    </row>
    <row r="532" spans="1:40" ht="15" x14ac:dyDescent="0.25">
      <c r="A532" s="4" t="s">
        <v>2143</v>
      </c>
      <c r="B532" s="17" t="s">
        <v>3069</v>
      </c>
      <c r="C532">
        <v>10</v>
      </c>
      <c r="D532" t="s">
        <v>1055</v>
      </c>
      <c r="E532" t="s">
        <v>1056</v>
      </c>
      <c r="G532" s="4" t="s">
        <v>2144</v>
      </c>
      <c r="H532" s="4" t="s">
        <v>830</v>
      </c>
      <c r="I532" t="s">
        <v>1952</v>
      </c>
      <c r="J532" t="s">
        <v>1058</v>
      </c>
      <c r="K532" t="s">
        <v>847</v>
      </c>
      <c r="L532" t="s">
        <v>1057</v>
      </c>
      <c r="M532" t="s">
        <v>1887</v>
      </c>
      <c r="N532" t="s">
        <v>973</v>
      </c>
      <c r="O532" t="s">
        <v>830</v>
      </c>
      <c r="P532" t="s">
        <v>2145</v>
      </c>
      <c r="Q532" t="s">
        <v>830</v>
      </c>
      <c r="T532" t="s">
        <v>830</v>
      </c>
      <c r="U532" t="s">
        <v>830</v>
      </c>
      <c r="W532" t="s">
        <v>2250</v>
      </c>
      <c r="X532" s="4" t="s">
        <v>2148</v>
      </c>
      <c r="Y532" s="4" t="s">
        <v>830</v>
      </c>
      <c r="Z532">
        <v>2</v>
      </c>
      <c r="AA532">
        <v>1922</v>
      </c>
      <c r="AB532">
        <v>40</v>
      </c>
      <c r="AC532" t="str">
        <f t="shared" si="47"/>
        <v>ZEGWAN</v>
      </c>
      <c r="AD532" s="4" t="s">
        <v>2991</v>
      </c>
      <c r="AE532" t="str">
        <f t="shared" si="48"/>
        <v>XXXIII</v>
      </c>
      <c r="AF532" s="4" t="s">
        <v>2992</v>
      </c>
      <c r="AG532" s="16" t="s">
        <v>2925</v>
      </c>
      <c r="AH532" s="4" t="s">
        <v>3066</v>
      </c>
      <c r="AI532" t="str">
        <f t="shared" si="49"/>
        <v>CSD,version,6.01</v>
      </c>
      <c r="AJ532" t="str">
        <f t="shared" si="50"/>
        <v>C10,H10,N3,O3,S1,-,.,C4,H10,N1,O1,+</v>
      </c>
      <c r="AK532" s="4" t="s">
        <v>3059</v>
      </c>
      <c r="AL532">
        <v>2</v>
      </c>
      <c r="AM532">
        <v>2</v>
      </c>
      <c r="AN532" t="str">
        <f>IF(AM532&lt;&gt;"",CONCATENATE(AC532," &amp; \ce{",SUBSTITUTE(AJ532,","," "),"} &amp; ",SUBSTITUTE(AF532,"."," ")," &amp; ",AL532," &amp; ",AM532," \\"),"")</f>
        <v>ZEGWAN &amp; \ce{C10 H10 N3 O3 S1 - . C4 H10 N1 O1 +} &amp; Blind Test XXXIII (ZEGWAN) &amp; 2 &amp; 2 \\</v>
      </c>
    </row>
    <row r="533" spans="1:40" ht="15" x14ac:dyDescent="0.25">
      <c r="A533" s="4" t="s">
        <v>2143</v>
      </c>
      <c r="B533" s="17" t="s">
        <v>3069</v>
      </c>
      <c r="C533">
        <v>11</v>
      </c>
      <c r="D533" t="s">
        <v>1055</v>
      </c>
      <c r="E533" t="s">
        <v>1056</v>
      </c>
      <c r="G533" s="4" t="s">
        <v>2144</v>
      </c>
      <c r="H533" s="4" t="s">
        <v>830</v>
      </c>
      <c r="I533" t="s">
        <v>1952</v>
      </c>
      <c r="J533" t="s">
        <v>1059</v>
      </c>
      <c r="K533" t="s">
        <v>847</v>
      </c>
      <c r="L533" s="4" t="s">
        <v>2147</v>
      </c>
      <c r="M533" t="s">
        <v>1886</v>
      </c>
      <c r="N533" s="6" t="s">
        <v>2146</v>
      </c>
      <c r="O533" t="s">
        <v>830</v>
      </c>
      <c r="P533" t="s">
        <v>2145</v>
      </c>
      <c r="Q533" t="s">
        <v>830</v>
      </c>
      <c r="R533" t="s">
        <v>830</v>
      </c>
      <c r="S533" t="s">
        <v>830</v>
      </c>
      <c r="T533" t="s">
        <v>830</v>
      </c>
      <c r="U533" t="s">
        <v>830</v>
      </c>
      <c r="W533" t="s">
        <v>2250</v>
      </c>
      <c r="X533" t="s">
        <v>2175</v>
      </c>
      <c r="Y533" s="4" t="s">
        <v>830</v>
      </c>
      <c r="Z533">
        <v>2</v>
      </c>
      <c r="AA533">
        <v>499</v>
      </c>
      <c r="AB533">
        <v>115.61499999999999</v>
      </c>
      <c r="AC533" t="str">
        <f t="shared" si="47"/>
        <v/>
      </c>
      <c r="AE533" t="str">
        <f t="shared" si="48"/>
        <v/>
      </c>
      <c r="AI533" t="str">
        <f t="shared" si="49"/>
        <v/>
      </c>
      <c r="AJ533" t="str">
        <f t="shared" si="50"/>
        <v/>
      </c>
      <c r="AN533" t="str">
        <f>IF(AM533&lt;&gt;"",CONCATENATE(AC533," &amp; ",SUBSTITUTE(AJ533,","," ")," &amp; ",SUBSTITUTE(AF533,"."," ")," &amp; ",AL533," &amp; ",AM533," \\"),"")</f>
        <v/>
      </c>
    </row>
    <row r="534" spans="1:40" ht="15" x14ac:dyDescent="0.25">
      <c r="A534" t="s">
        <v>2112</v>
      </c>
      <c r="B534" s="17" t="s">
        <v>3054</v>
      </c>
      <c r="C534">
        <v>10</v>
      </c>
      <c r="D534" t="s">
        <v>970</v>
      </c>
      <c r="E534" t="s">
        <v>971</v>
      </c>
      <c r="G534" t="s">
        <v>2112</v>
      </c>
      <c r="H534" t="s">
        <v>830</v>
      </c>
      <c r="I534" t="s">
        <v>1952</v>
      </c>
      <c r="J534" t="s">
        <v>974</v>
      </c>
      <c r="K534" t="s">
        <v>897</v>
      </c>
      <c r="L534" t="s">
        <v>972</v>
      </c>
      <c r="M534" t="s">
        <v>1887</v>
      </c>
      <c r="N534" t="s">
        <v>973</v>
      </c>
      <c r="O534" t="s">
        <v>830</v>
      </c>
      <c r="P534" t="s">
        <v>896</v>
      </c>
      <c r="Q534" t="s">
        <v>830</v>
      </c>
      <c r="T534" t="s">
        <v>830</v>
      </c>
      <c r="U534" t="s">
        <v>830</v>
      </c>
      <c r="W534" t="s">
        <v>2110</v>
      </c>
      <c r="X534" t="s">
        <v>2126</v>
      </c>
      <c r="Y534" t="s">
        <v>830</v>
      </c>
      <c r="Z534">
        <v>3</v>
      </c>
      <c r="AA534">
        <v>4601</v>
      </c>
      <c r="AB534">
        <v>26.100999999999999</v>
      </c>
      <c r="AC534" t="str">
        <f t="shared" si="47"/>
        <v>ZEHFUR</v>
      </c>
      <c r="AD534" s="4" t="s">
        <v>2987</v>
      </c>
      <c r="AE534" t="str">
        <f t="shared" si="48"/>
        <v>BTXXXI</v>
      </c>
      <c r="AF534" s="4" t="s">
        <v>2988</v>
      </c>
      <c r="AG534" s="16" t="s">
        <v>2894</v>
      </c>
      <c r="AH534" s="4" t="s">
        <v>3066</v>
      </c>
      <c r="AI534" t="str">
        <f t="shared" si="49"/>
        <v>CSD,version,6.01</v>
      </c>
      <c r="AJ534" t="str">
        <f t="shared" si="50"/>
        <v>C12,H12,N1,O3,F3,S1</v>
      </c>
      <c r="AK534" s="4" t="s">
        <v>3059</v>
      </c>
      <c r="AL534">
        <v>2</v>
      </c>
      <c r="AM534">
        <v>4</v>
      </c>
      <c r="AN534" t="str">
        <f>IF(AM534&lt;&gt;"",CONCATENATE(AC534," &amp; \ce{",SUBSTITUTE(AJ534,","," "),"} &amp; ",SUBSTITUTE(AF534,"."," ")," &amp; ",AL534," &amp; ",AM534," \\"),"")</f>
        <v>ZEHFUR &amp; \ce{C12 H12 N1 O3 F3 S1} &amp; Blind Test XXXI (ZEHFUR) &amp; 2 &amp; 4 \\</v>
      </c>
    </row>
    <row r="535" spans="1:40" ht="15" x14ac:dyDescent="0.25">
      <c r="A535" t="s">
        <v>2112</v>
      </c>
      <c r="B535" s="17" t="s">
        <v>3054</v>
      </c>
      <c r="C535">
        <v>11</v>
      </c>
      <c r="D535" t="s">
        <v>970</v>
      </c>
      <c r="E535" t="s">
        <v>971</v>
      </c>
      <c r="G535" t="s">
        <v>2112</v>
      </c>
      <c r="H535" t="s">
        <v>830</v>
      </c>
      <c r="I535" t="s">
        <v>1952</v>
      </c>
      <c r="J535" t="s">
        <v>977</v>
      </c>
      <c r="K535" t="s">
        <v>897</v>
      </c>
      <c r="L535" t="s">
        <v>975</v>
      </c>
      <c r="M535" t="s">
        <v>1886</v>
      </c>
      <c r="N535" t="s">
        <v>976</v>
      </c>
      <c r="O535" t="s">
        <v>830</v>
      </c>
      <c r="P535" t="s">
        <v>2124</v>
      </c>
      <c r="Q535" t="s">
        <v>830</v>
      </c>
      <c r="R535" t="s">
        <v>830</v>
      </c>
      <c r="S535" t="s">
        <v>830</v>
      </c>
      <c r="T535" t="s">
        <v>830</v>
      </c>
      <c r="U535" t="s">
        <v>830</v>
      </c>
      <c r="W535" t="s">
        <v>2110</v>
      </c>
      <c r="X535" t="s">
        <v>2127</v>
      </c>
      <c r="Y535" t="s">
        <v>830</v>
      </c>
      <c r="Z535">
        <v>3</v>
      </c>
      <c r="AA535">
        <v>100</v>
      </c>
      <c r="AB535">
        <v>19.39</v>
      </c>
      <c r="AC535" t="str">
        <f t="shared" si="47"/>
        <v/>
      </c>
      <c r="AE535" t="str">
        <f t="shared" si="48"/>
        <v/>
      </c>
      <c r="AI535" t="str">
        <f t="shared" si="49"/>
        <v/>
      </c>
      <c r="AJ535" t="str">
        <f t="shared" si="50"/>
        <v/>
      </c>
      <c r="AN535" t="str">
        <f t="shared" ref="AN535:AN540" si="51">IF(AM535&lt;&gt;"",CONCATENATE(AC535," &amp; ",SUBSTITUTE(AJ535,","," ")," &amp; ",SUBSTITUTE(AF535,"."," ")," &amp; ",AL535," &amp; ",AM535," \\"),"")</f>
        <v/>
      </c>
    </row>
    <row r="536" spans="1:40" ht="15" x14ac:dyDescent="0.25">
      <c r="A536" t="s">
        <v>2112</v>
      </c>
      <c r="B536" s="17" t="s">
        <v>3054</v>
      </c>
      <c r="C536">
        <v>12</v>
      </c>
      <c r="D536" t="s">
        <v>970</v>
      </c>
      <c r="E536" t="s">
        <v>971</v>
      </c>
      <c r="G536" t="s">
        <v>2112</v>
      </c>
      <c r="H536" t="s">
        <v>830</v>
      </c>
      <c r="I536" t="s">
        <v>1952</v>
      </c>
      <c r="J536" t="s">
        <v>979</v>
      </c>
      <c r="K536" t="s">
        <v>897</v>
      </c>
      <c r="L536" t="s">
        <v>978</v>
      </c>
      <c r="M536" t="s">
        <v>896</v>
      </c>
      <c r="N536" t="s">
        <v>976</v>
      </c>
      <c r="O536" t="s">
        <v>830</v>
      </c>
      <c r="P536" t="s">
        <v>896</v>
      </c>
      <c r="Q536" t="s">
        <v>830</v>
      </c>
      <c r="T536" t="s">
        <v>830</v>
      </c>
      <c r="U536" t="s">
        <v>830</v>
      </c>
      <c r="W536" t="s">
        <v>2110</v>
      </c>
      <c r="X536" t="s">
        <v>2128</v>
      </c>
      <c r="Y536" t="s">
        <v>830</v>
      </c>
      <c r="Z536">
        <v>3</v>
      </c>
      <c r="AA536">
        <v>100</v>
      </c>
      <c r="AB536">
        <v>19.413</v>
      </c>
      <c r="AC536" t="str">
        <f t="shared" si="47"/>
        <v/>
      </c>
      <c r="AE536" t="str">
        <f t="shared" si="48"/>
        <v/>
      </c>
      <c r="AI536" t="str">
        <f t="shared" si="49"/>
        <v/>
      </c>
      <c r="AJ536" t="str">
        <f t="shared" si="50"/>
        <v/>
      </c>
      <c r="AN536" t="str">
        <f t="shared" si="51"/>
        <v/>
      </c>
    </row>
    <row r="537" spans="1:40" s="8" customFormat="1" ht="15" x14ac:dyDescent="0.25">
      <c r="A537" t="s">
        <v>2112</v>
      </c>
      <c r="B537" s="17" t="s">
        <v>3054</v>
      </c>
      <c r="C537">
        <v>13</v>
      </c>
      <c r="D537" t="s">
        <v>970</v>
      </c>
      <c r="E537" t="s">
        <v>971</v>
      </c>
      <c r="F537"/>
      <c r="G537" t="s">
        <v>2112</v>
      </c>
      <c r="H537" t="s">
        <v>830</v>
      </c>
      <c r="I537" t="s">
        <v>1952</v>
      </c>
      <c r="J537" t="s">
        <v>981</v>
      </c>
      <c r="K537" t="s">
        <v>897</v>
      </c>
      <c r="L537" t="s">
        <v>978</v>
      </c>
      <c r="M537" t="s">
        <v>896</v>
      </c>
      <c r="N537" t="s">
        <v>980</v>
      </c>
      <c r="O537" t="s">
        <v>830</v>
      </c>
      <c r="P537" t="s">
        <v>896</v>
      </c>
      <c r="Q537" t="s">
        <v>830</v>
      </c>
      <c r="R537"/>
      <c r="S537"/>
      <c r="T537" t="s">
        <v>830</v>
      </c>
      <c r="U537" t="s">
        <v>830</v>
      </c>
      <c r="V537"/>
      <c r="W537" t="s">
        <v>2110</v>
      </c>
      <c r="X537" t="s">
        <v>2129</v>
      </c>
      <c r="Y537" t="s">
        <v>830</v>
      </c>
      <c r="Z537">
        <v>3</v>
      </c>
      <c r="AA537">
        <v>100</v>
      </c>
      <c r="AB537">
        <v>20.902999999999999</v>
      </c>
      <c r="AC537" t="str">
        <f t="shared" si="47"/>
        <v/>
      </c>
      <c r="AD537"/>
      <c r="AE537" t="str">
        <f t="shared" si="48"/>
        <v/>
      </c>
      <c r="AF537"/>
      <c r="AG537" s="15"/>
      <c r="AH537"/>
      <c r="AI537" t="str">
        <f t="shared" si="49"/>
        <v/>
      </c>
      <c r="AJ537" t="str">
        <f t="shared" si="50"/>
        <v/>
      </c>
      <c r="AN537" t="str">
        <f t="shared" si="51"/>
        <v/>
      </c>
    </row>
    <row r="538" spans="1:40" s="8" customFormat="1" x14ac:dyDescent="0.2">
      <c r="A538" s="8" t="s">
        <v>799</v>
      </c>
      <c r="B538" s="8" t="s">
        <v>63</v>
      </c>
      <c r="C538" s="8">
        <v>0</v>
      </c>
      <c r="D538" s="8" t="s">
        <v>800</v>
      </c>
      <c r="E538" s="8" t="s">
        <v>801</v>
      </c>
      <c r="F538" s="8" t="s">
        <v>8</v>
      </c>
      <c r="G538" s="8" t="s">
        <v>799</v>
      </c>
      <c r="H538" s="8" t="s">
        <v>833</v>
      </c>
      <c r="K538" s="8" t="s">
        <v>898</v>
      </c>
      <c r="M538" s="8" t="s">
        <v>896</v>
      </c>
      <c r="O538" s="8" t="s">
        <v>832</v>
      </c>
      <c r="T538" s="8" t="s">
        <v>1598</v>
      </c>
      <c r="W538" s="8" t="s">
        <v>2499</v>
      </c>
      <c r="AA538" s="8">
        <v>1226</v>
      </c>
      <c r="AB538" s="8">
        <v>20</v>
      </c>
      <c r="AC538" t="str">
        <f t="shared" si="47"/>
        <v/>
      </c>
      <c r="AD538"/>
      <c r="AE538" t="str">
        <f t="shared" si="48"/>
        <v/>
      </c>
      <c r="AF538"/>
      <c r="AG538" s="15"/>
      <c r="AH538"/>
      <c r="AI538" t="str">
        <f t="shared" si="49"/>
        <v/>
      </c>
      <c r="AJ538" t="str">
        <f t="shared" si="50"/>
        <v/>
      </c>
      <c r="AN538" t="str">
        <f t="shared" si="51"/>
        <v/>
      </c>
    </row>
    <row r="539" spans="1:40" s="8" customFormat="1" x14ac:dyDescent="0.2">
      <c r="A539" s="8" t="s">
        <v>799</v>
      </c>
      <c r="B539" s="8" t="s">
        <v>63</v>
      </c>
      <c r="C539" s="8">
        <v>1</v>
      </c>
      <c r="D539" s="8" t="s">
        <v>800</v>
      </c>
      <c r="E539" s="8" t="s">
        <v>801</v>
      </c>
      <c r="F539" s="8" t="s">
        <v>8</v>
      </c>
      <c r="G539" s="8" t="s">
        <v>799</v>
      </c>
      <c r="H539" s="8" t="s">
        <v>833</v>
      </c>
      <c r="K539" s="8" t="s">
        <v>898</v>
      </c>
      <c r="M539" s="8" t="s">
        <v>896</v>
      </c>
      <c r="T539" s="8" t="s">
        <v>1598</v>
      </c>
      <c r="W539" s="8" t="s">
        <v>2499</v>
      </c>
      <c r="AA539" s="8">
        <v>5960</v>
      </c>
      <c r="AB539" s="8">
        <v>30.36</v>
      </c>
      <c r="AC539" t="str">
        <f t="shared" si="47"/>
        <v/>
      </c>
      <c r="AD539"/>
      <c r="AE539" t="str">
        <f t="shared" si="48"/>
        <v/>
      </c>
      <c r="AF539"/>
      <c r="AG539" s="15"/>
      <c r="AH539"/>
      <c r="AI539" t="str">
        <f t="shared" si="49"/>
        <v/>
      </c>
      <c r="AJ539" t="str">
        <f t="shared" si="50"/>
        <v/>
      </c>
      <c r="AN539" t="str">
        <f t="shared" si="51"/>
        <v/>
      </c>
    </row>
    <row r="540" spans="1:40" x14ac:dyDescent="0.2">
      <c r="A540" s="8" t="s">
        <v>799</v>
      </c>
      <c r="B540" s="8" t="s">
        <v>63</v>
      </c>
      <c r="C540" s="8">
        <v>11</v>
      </c>
      <c r="D540" s="8" t="s">
        <v>800</v>
      </c>
      <c r="E540" s="8" t="s">
        <v>801</v>
      </c>
      <c r="F540" s="8" t="s">
        <v>8</v>
      </c>
      <c r="G540" s="8" t="s">
        <v>799</v>
      </c>
      <c r="H540" s="8" t="s">
        <v>833</v>
      </c>
      <c r="I540" s="8"/>
      <c r="J540" s="8"/>
      <c r="K540" s="8" t="s">
        <v>898</v>
      </c>
      <c r="L540" s="8"/>
      <c r="M540" s="12" t="s">
        <v>2513</v>
      </c>
      <c r="N540" s="8"/>
      <c r="O540" s="8"/>
      <c r="P540" s="8"/>
      <c r="Q540" s="8"/>
      <c r="R540" s="8"/>
      <c r="S540" s="8"/>
      <c r="T540" s="8" t="s">
        <v>1598</v>
      </c>
      <c r="U540" s="8"/>
      <c r="V540" s="8"/>
      <c r="W540" s="8" t="s">
        <v>2499</v>
      </c>
      <c r="X540" s="8"/>
      <c r="Y540" s="8"/>
      <c r="Z540" s="8"/>
      <c r="AA540" s="8">
        <v>35</v>
      </c>
      <c r="AB540" s="8">
        <v>6.13</v>
      </c>
      <c r="AC540" t="str">
        <f t="shared" si="47"/>
        <v/>
      </c>
      <c r="AE540" t="str">
        <f t="shared" si="48"/>
        <v/>
      </c>
      <c r="AI540" t="str">
        <f t="shared" si="49"/>
        <v/>
      </c>
      <c r="AJ540" t="str">
        <f t="shared" si="50"/>
        <v/>
      </c>
      <c r="AN540" t="str">
        <f t="shared" si="51"/>
        <v/>
      </c>
    </row>
    <row r="541" spans="1:40" x14ac:dyDescent="0.2">
      <c r="A541" t="s">
        <v>802</v>
      </c>
      <c r="B541" t="s">
        <v>117</v>
      </c>
      <c r="C541">
        <v>0</v>
      </c>
      <c r="D541" t="s">
        <v>803</v>
      </c>
      <c r="E541" t="s">
        <v>804</v>
      </c>
      <c r="F541" t="s">
        <v>805</v>
      </c>
      <c r="G541" t="s">
        <v>1579</v>
      </c>
      <c r="H541" t="s">
        <v>830</v>
      </c>
      <c r="I541" t="s">
        <v>1557</v>
      </c>
      <c r="J541" t="s">
        <v>1089</v>
      </c>
      <c r="K541" t="s">
        <v>846</v>
      </c>
      <c r="L541" t="s">
        <v>1553</v>
      </c>
      <c r="M541" s="2" t="s">
        <v>1559</v>
      </c>
      <c r="N541" t="s">
        <v>1567</v>
      </c>
      <c r="O541" t="s">
        <v>830</v>
      </c>
      <c r="P541" s="4" t="s">
        <v>1751</v>
      </c>
      <c r="Q541" t="s">
        <v>830</v>
      </c>
      <c r="T541" t="s">
        <v>830</v>
      </c>
      <c r="U541" t="s">
        <v>830</v>
      </c>
      <c r="W541" t="s">
        <v>1731</v>
      </c>
      <c r="X541" t="s">
        <v>1760</v>
      </c>
      <c r="Y541" t="s">
        <v>830</v>
      </c>
      <c r="Z541">
        <v>1</v>
      </c>
      <c r="AA541">
        <v>70</v>
      </c>
      <c r="AB541">
        <v>5</v>
      </c>
      <c r="AC541" t="str">
        <f t="shared" si="47"/>
        <v>ZZZEKW</v>
      </c>
      <c r="AD541" t="s">
        <v>3102</v>
      </c>
      <c r="AE541" t="str">
        <f t="shared" si="48"/>
        <v>25-dichloronitrobenzene</v>
      </c>
      <c r="AF541" t="s">
        <v>3455</v>
      </c>
      <c r="AG541" s="15" t="s">
        <v>2889</v>
      </c>
      <c r="AH541" t="s">
        <v>3123</v>
      </c>
      <c r="AI541" t="str">
        <f t="shared" si="49"/>
        <v>CSD,version,5.44,with,April,2023,update</v>
      </c>
      <c r="AJ541" t="str">
        <f t="shared" si="50"/>
        <v>C6,H3,N1,O2,Cl2</v>
      </c>
      <c r="AK541" t="s">
        <v>3124</v>
      </c>
      <c r="AL541">
        <v>2</v>
      </c>
      <c r="AM541">
        <v>4</v>
      </c>
      <c r="AN541" t="str">
        <f>IF(AM541&lt;&gt;"",CONCATENATE(AC541," &amp; \ce{",SUBSTITUTE(AJ541,","," "),"} &amp; ",SUBSTITUTE(AF541,"."," ")," &amp; ",AL541," &amp; ",AM541," \\"),"")</f>
        <v>ZZZEKW &amp; \ce{C6 H3 N1 O2 Cl2} &amp; 2,5-dichloronitrobenzene &amp; 2 &amp; 4 \\</v>
      </c>
    </row>
    <row r="542" spans="1:40" x14ac:dyDescent="0.2">
      <c r="A542" t="s">
        <v>802</v>
      </c>
      <c r="B542" t="s">
        <v>117</v>
      </c>
      <c r="C542">
        <v>10</v>
      </c>
      <c r="D542" t="s">
        <v>803</v>
      </c>
      <c r="E542" t="s">
        <v>804</v>
      </c>
      <c r="F542" t="s">
        <v>805</v>
      </c>
      <c r="G542" t="s">
        <v>1579</v>
      </c>
      <c r="H542" t="s">
        <v>830</v>
      </c>
      <c r="I542" t="s">
        <v>1557</v>
      </c>
      <c r="J542" s="4" t="s">
        <v>1571</v>
      </c>
      <c r="K542" s="4" t="s">
        <v>839</v>
      </c>
      <c r="L542" t="s">
        <v>1472</v>
      </c>
      <c r="M542" t="s">
        <v>876</v>
      </c>
      <c r="N542" s="5" t="s">
        <v>1562</v>
      </c>
      <c r="O542" t="s">
        <v>830</v>
      </c>
      <c r="P542" s="4" t="s">
        <v>1751</v>
      </c>
      <c r="Q542" t="s">
        <v>830</v>
      </c>
      <c r="T542" t="s">
        <v>830</v>
      </c>
      <c r="U542" t="s">
        <v>830</v>
      </c>
      <c r="W542" t="s">
        <v>1731</v>
      </c>
      <c r="X542" t="s">
        <v>1762</v>
      </c>
      <c r="Y542" t="s">
        <v>830</v>
      </c>
      <c r="Z542">
        <v>1</v>
      </c>
      <c r="AA542">
        <v>1610</v>
      </c>
      <c r="AB542">
        <v>20</v>
      </c>
      <c r="AC542" t="str">
        <f t="shared" si="47"/>
        <v/>
      </c>
      <c r="AE542" t="str">
        <f t="shared" si="48"/>
        <v/>
      </c>
      <c r="AI542" t="str">
        <f t="shared" si="49"/>
        <v/>
      </c>
      <c r="AJ542" t="str">
        <f t="shared" si="50"/>
        <v/>
      </c>
      <c r="AN542" t="str">
        <f>IF(AM542&lt;&gt;"",CONCATENATE(AC542," &amp; ",SUBSTITUTE(AJ542,","," ")," &amp; ",SUBSTITUTE(AF542,"."," ")," &amp; ",AL542," &amp; ",AM542," \\"),"")</f>
        <v/>
      </c>
    </row>
    <row r="543" spans="1:40" x14ac:dyDescent="0.2">
      <c r="A543" t="s">
        <v>802</v>
      </c>
      <c r="B543" t="s">
        <v>117</v>
      </c>
      <c r="C543">
        <v>20</v>
      </c>
      <c r="D543" t="s">
        <v>803</v>
      </c>
      <c r="E543" t="s">
        <v>804</v>
      </c>
      <c r="F543" t="s">
        <v>805</v>
      </c>
      <c r="G543" t="s">
        <v>1579</v>
      </c>
      <c r="H543" t="s">
        <v>830</v>
      </c>
      <c r="I543" t="s">
        <v>1557</v>
      </c>
      <c r="J543" s="4" t="s">
        <v>1572</v>
      </c>
      <c r="K543" s="4" t="s">
        <v>839</v>
      </c>
      <c r="L543" t="s">
        <v>1560</v>
      </c>
      <c r="M543" t="s">
        <v>876</v>
      </c>
      <c r="N543" s="5" t="s">
        <v>1562</v>
      </c>
      <c r="O543" t="s">
        <v>830</v>
      </c>
      <c r="P543" s="4" t="s">
        <v>1751</v>
      </c>
      <c r="Q543" t="s">
        <v>830</v>
      </c>
      <c r="T543" t="s">
        <v>830</v>
      </c>
      <c r="U543" t="s">
        <v>830</v>
      </c>
      <c r="W543" t="s">
        <v>1731</v>
      </c>
      <c r="X543" t="s">
        <v>1761</v>
      </c>
      <c r="Y543" t="s">
        <v>830</v>
      </c>
      <c r="Z543">
        <v>1</v>
      </c>
      <c r="AA543">
        <v>3569</v>
      </c>
      <c r="AB543">
        <v>20</v>
      </c>
      <c r="AC543" t="str">
        <f t="shared" si="47"/>
        <v/>
      </c>
      <c r="AE543" t="str">
        <f t="shared" si="48"/>
        <v/>
      </c>
      <c r="AI543" t="str">
        <f t="shared" si="49"/>
        <v/>
      </c>
      <c r="AJ543" t="str">
        <f t="shared" si="50"/>
        <v/>
      </c>
      <c r="AN543" t="str">
        <f>IF(AM543&lt;&gt;"",CONCATENATE(AC543," &amp; ",SUBSTITUTE(AJ543,","," ")," &amp; ",SUBSTITUTE(AF543,"."," ")," &amp; ",AL543," &amp; ",AM543," \\"),"")</f>
        <v/>
      </c>
    </row>
    <row r="544" spans="1:40" x14ac:dyDescent="0.2">
      <c r="A544" t="s">
        <v>802</v>
      </c>
      <c r="B544" t="s">
        <v>117</v>
      </c>
      <c r="C544">
        <v>30</v>
      </c>
      <c r="D544" t="s">
        <v>803</v>
      </c>
      <c r="E544" t="s">
        <v>804</v>
      </c>
      <c r="F544" t="s">
        <v>805</v>
      </c>
      <c r="G544" t="s">
        <v>1579</v>
      </c>
      <c r="H544" t="s">
        <v>830</v>
      </c>
      <c r="I544" t="s">
        <v>1557</v>
      </c>
      <c r="J544" s="4" t="s">
        <v>1573</v>
      </c>
      <c r="K544" s="4" t="s">
        <v>839</v>
      </c>
      <c r="L544" s="4" t="s">
        <v>1565</v>
      </c>
      <c r="M544" t="s">
        <v>876</v>
      </c>
      <c r="N544" s="5" t="s">
        <v>1562</v>
      </c>
      <c r="O544" t="s">
        <v>830</v>
      </c>
      <c r="P544" s="4" t="s">
        <v>1751</v>
      </c>
      <c r="Q544" t="s">
        <v>830</v>
      </c>
      <c r="T544" t="s">
        <v>830</v>
      </c>
      <c r="U544" t="s">
        <v>830</v>
      </c>
      <c r="W544" t="s">
        <v>1731</v>
      </c>
      <c r="X544" t="s">
        <v>1763</v>
      </c>
      <c r="Y544" t="s">
        <v>830</v>
      </c>
      <c r="Z544">
        <v>1</v>
      </c>
      <c r="AA544">
        <v>1610</v>
      </c>
      <c r="AB544">
        <v>20.710999999999999</v>
      </c>
      <c r="AC544" t="str">
        <f t="shared" si="47"/>
        <v/>
      </c>
      <c r="AE544" t="str">
        <f t="shared" si="48"/>
        <v/>
      </c>
      <c r="AI544" t="str">
        <f t="shared" si="49"/>
        <v/>
      </c>
      <c r="AJ544" t="str">
        <f t="shared" si="50"/>
        <v/>
      </c>
      <c r="AN544" t="str">
        <f>IF(AM544&lt;&gt;"",CONCATENATE(AC544," &amp; ",SUBSTITUTE(AJ544,","," ")," &amp; ",SUBSTITUTE(AF544,"."," ")," &amp; ",AL544," &amp; ",AM544," \\"),"")</f>
        <v/>
      </c>
    </row>
    <row r="545" spans="1:40" x14ac:dyDescent="0.2">
      <c r="A545" t="s">
        <v>806</v>
      </c>
      <c r="B545" t="s">
        <v>807</v>
      </c>
      <c r="C545">
        <v>0</v>
      </c>
      <c r="D545" t="s">
        <v>808</v>
      </c>
      <c r="E545" t="s">
        <v>809</v>
      </c>
      <c r="F545" t="s">
        <v>810</v>
      </c>
      <c r="G545" t="s">
        <v>811</v>
      </c>
      <c r="H545" t="s">
        <v>830</v>
      </c>
      <c r="I545" t="s">
        <v>1952</v>
      </c>
      <c r="J545" t="s">
        <v>1375</v>
      </c>
      <c r="K545" t="s">
        <v>861</v>
      </c>
      <c r="L545" t="s">
        <v>1865</v>
      </c>
      <c r="M545" t="s">
        <v>876</v>
      </c>
      <c r="N545">
        <v>2013</v>
      </c>
      <c r="O545" t="s">
        <v>830</v>
      </c>
      <c r="P545" s="4" t="s">
        <v>1810</v>
      </c>
      <c r="Q545" t="s">
        <v>830</v>
      </c>
      <c r="T545" t="s">
        <v>830</v>
      </c>
      <c r="U545" t="s">
        <v>830</v>
      </c>
      <c r="W545" t="s">
        <v>1958</v>
      </c>
      <c r="X545" t="s">
        <v>1989</v>
      </c>
      <c r="Y545" t="s">
        <v>830</v>
      </c>
      <c r="Z545">
        <v>1</v>
      </c>
      <c r="AA545">
        <v>546</v>
      </c>
      <c r="AB545">
        <v>16.5</v>
      </c>
      <c r="AC545" t="str">
        <f t="shared" si="47"/>
        <v>ZZZITY</v>
      </c>
      <c r="AD545" t="s">
        <v>3190</v>
      </c>
      <c r="AE545" t="str">
        <f t="shared" si="48"/>
        <v>P-Xylene</v>
      </c>
      <c r="AF545" t="str">
        <f>AE545</f>
        <v>P-Xylene</v>
      </c>
      <c r="AG545" s="15" t="s">
        <v>2885</v>
      </c>
      <c r="AH545" t="s">
        <v>2884</v>
      </c>
      <c r="AI545" t="str">
        <f t="shared" si="49"/>
        <v>CSD,version,6.01</v>
      </c>
      <c r="AJ545" t="str">
        <f t="shared" si="50"/>
        <v>C8,H10</v>
      </c>
      <c r="AL545">
        <v>1</v>
      </c>
      <c r="AM545">
        <v>1</v>
      </c>
      <c r="AN545" t="str">
        <f>IF(AM545&lt;&gt;"",CONCATENATE(AC545," &amp; \ce{",SUBSTITUTE(AJ545,","," "),"} &amp; ",SUBSTITUTE(AF545,"."," ")," &amp; ",AL545," &amp; ",AM545," \\"),"")</f>
        <v>ZZZITY &amp; \ce{C8 H10} &amp; P-Xylene &amp; 1 &amp; 1 \\</v>
      </c>
    </row>
    <row r="546" spans="1:40" x14ac:dyDescent="0.2">
      <c r="A546" t="s">
        <v>812</v>
      </c>
      <c r="B546" t="s">
        <v>807</v>
      </c>
      <c r="C546">
        <v>0</v>
      </c>
      <c r="D546" t="s">
        <v>813</v>
      </c>
      <c r="E546" t="s">
        <v>814</v>
      </c>
      <c r="F546" t="s">
        <v>815</v>
      </c>
      <c r="G546" t="s">
        <v>1987</v>
      </c>
      <c r="H546" t="s">
        <v>830</v>
      </c>
      <c r="I546" t="s">
        <v>1952</v>
      </c>
      <c r="J546" t="s">
        <v>1374</v>
      </c>
      <c r="K546" t="s">
        <v>861</v>
      </c>
      <c r="L546" t="s">
        <v>1865</v>
      </c>
      <c r="M546" t="s">
        <v>876</v>
      </c>
      <c r="N546">
        <v>2013</v>
      </c>
      <c r="O546" t="s">
        <v>830</v>
      </c>
      <c r="P546" s="4" t="s">
        <v>1810</v>
      </c>
      <c r="Q546" t="s">
        <v>830</v>
      </c>
      <c r="T546" t="s">
        <v>830</v>
      </c>
      <c r="U546" t="s">
        <v>830</v>
      </c>
      <c r="W546" t="s">
        <v>1958</v>
      </c>
      <c r="X546" t="s">
        <v>1990</v>
      </c>
      <c r="Y546" t="s">
        <v>830</v>
      </c>
      <c r="Z546">
        <v>1</v>
      </c>
      <c r="AA546">
        <v>426</v>
      </c>
      <c r="AB546">
        <v>14.02</v>
      </c>
      <c r="AC546" t="str">
        <f t="shared" si="47"/>
        <v>ZZZRTI</v>
      </c>
      <c r="AD546" t="s">
        <v>3191</v>
      </c>
      <c r="AE546" t="str">
        <f t="shared" si="48"/>
        <v>O-Xylene</v>
      </c>
      <c r="AF546" t="str">
        <f>AE546</f>
        <v>O-Xylene</v>
      </c>
      <c r="AG546" s="15" t="s">
        <v>2885</v>
      </c>
      <c r="AH546" t="s">
        <v>2884</v>
      </c>
      <c r="AI546" t="str">
        <f t="shared" si="49"/>
        <v>CSD,version,6.01</v>
      </c>
      <c r="AJ546" t="str">
        <f t="shared" si="50"/>
        <v>C8,H10</v>
      </c>
      <c r="AL546">
        <v>1</v>
      </c>
      <c r="AM546">
        <v>1</v>
      </c>
      <c r="AN546" t="str">
        <f>IF(AM546&lt;&gt;"",CONCATENATE(AC546," &amp; \ce{",SUBSTITUTE(AJ546,","," "),"} &amp; ",SUBSTITUTE(AF546,"."," ")," &amp; ",AL546," &amp; ",AM546," \\"),"")</f>
        <v>ZZZRTI &amp; \ce{C8 H10} &amp; O-Xylene &amp; 1 &amp; 1 \\</v>
      </c>
    </row>
    <row r="547" spans="1:40" x14ac:dyDescent="0.2">
      <c r="A547" t="s">
        <v>816</v>
      </c>
      <c r="B547" t="s">
        <v>807</v>
      </c>
      <c r="C547">
        <v>0</v>
      </c>
      <c r="D547" t="s">
        <v>817</v>
      </c>
      <c r="E547" t="s">
        <v>818</v>
      </c>
      <c r="F547" t="s">
        <v>819</v>
      </c>
      <c r="G547" t="s">
        <v>820</v>
      </c>
      <c r="H547" t="s">
        <v>830</v>
      </c>
      <c r="I547" t="s">
        <v>1952</v>
      </c>
      <c r="J547" t="s">
        <v>1373</v>
      </c>
      <c r="K547" t="s">
        <v>861</v>
      </c>
      <c r="L547" t="s">
        <v>1865</v>
      </c>
      <c r="M547" t="s">
        <v>876</v>
      </c>
      <c r="N547">
        <v>2013</v>
      </c>
      <c r="O547" t="s">
        <v>830</v>
      </c>
      <c r="P547" s="4" t="s">
        <v>1810</v>
      </c>
      <c r="Q547" t="s">
        <v>830</v>
      </c>
      <c r="T547" t="s">
        <v>830</v>
      </c>
      <c r="U547" t="s">
        <v>830</v>
      </c>
      <c r="W547" t="s">
        <v>1958</v>
      </c>
      <c r="X547" t="s">
        <v>1988</v>
      </c>
      <c r="Y547" t="s">
        <v>830</v>
      </c>
      <c r="Z547">
        <v>1</v>
      </c>
      <c r="AA547">
        <v>700</v>
      </c>
      <c r="AB547">
        <v>15.36</v>
      </c>
      <c r="AC547" t="str">
        <f t="shared" si="47"/>
        <v>ZZZSPY</v>
      </c>
      <c r="AD547" t="s">
        <v>3192</v>
      </c>
      <c r="AE547" t="str">
        <f t="shared" si="48"/>
        <v>M-Xylene</v>
      </c>
      <c r="AF547" t="str">
        <f>AE547</f>
        <v>M-Xylene</v>
      </c>
      <c r="AG547" s="15" t="s">
        <v>2885</v>
      </c>
      <c r="AH547" t="s">
        <v>2884</v>
      </c>
      <c r="AI547" t="str">
        <f t="shared" si="49"/>
        <v>CSD,version,6.01</v>
      </c>
      <c r="AJ547" t="str">
        <f t="shared" si="50"/>
        <v>C8,H10</v>
      </c>
      <c r="AL547">
        <v>1</v>
      </c>
      <c r="AM547">
        <v>1</v>
      </c>
      <c r="AN547" t="str">
        <f>IF(AM547&lt;&gt;"",CONCATENATE(AC547," &amp; \ce{",SUBSTITUTE(AJ547,","," "),"} &amp; ",SUBSTITUTE(AF547,"."," ")," &amp; ",AL547," &amp; ",AM547," \\"),"")</f>
        <v>ZZZSPY &amp; \ce{C8 H10} &amp; M-Xylene &amp; 1 &amp; 1 \\</v>
      </c>
    </row>
    <row r="548" spans="1:40" x14ac:dyDescent="0.2">
      <c r="A548" t="s">
        <v>821</v>
      </c>
      <c r="B548" t="s">
        <v>822</v>
      </c>
      <c r="C548">
        <v>0</v>
      </c>
      <c r="D548" t="s">
        <v>823</v>
      </c>
      <c r="E548" t="s">
        <v>823</v>
      </c>
      <c r="F548" t="s">
        <v>823</v>
      </c>
      <c r="G548" t="s">
        <v>2097</v>
      </c>
      <c r="H548" t="s">
        <v>830</v>
      </c>
      <c r="I548" t="s">
        <v>1952</v>
      </c>
      <c r="J548" t="s">
        <v>1171</v>
      </c>
      <c r="K548" t="s">
        <v>860</v>
      </c>
      <c r="L548" t="s">
        <v>1553</v>
      </c>
      <c r="M548" t="s">
        <v>883</v>
      </c>
      <c r="N548">
        <v>2008</v>
      </c>
      <c r="O548" t="s">
        <v>830</v>
      </c>
      <c r="P548" t="s">
        <v>883</v>
      </c>
      <c r="Q548" t="s">
        <v>830</v>
      </c>
      <c r="T548" t="s">
        <v>830</v>
      </c>
      <c r="U548" t="s">
        <v>830</v>
      </c>
      <c r="W548" t="s">
        <v>2094</v>
      </c>
      <c r="X548" t="s">
        <v>2099</v>
      </c>
      <c r="Y548" t="s">
        <v>830</v>
      </c>
      <c r="Z548">
        <v>1</v>
      </c>
      <c r="AA548">
        <v>1176</v>
      </c>
      <c r="AB548">
        <v>10</v>
      </c>
      <c r="AC548" t="str">
        <f t="shared" si="47"/>
        <v>ZZZVYE</v>
      </c>
      <c r="AD548" t="s">
        <v>823</v>
      </c>
      <c r="AE548" t="str">
        <f t="shared" si="48"/>
        <v>Cyclopentane</v>
      </c>
      <c r="AF548" t="str">
        <f>AE548</f>
        <v>Cyclopentane</v>
      </c>
      <c r="AG548" s="15" t="s">
        <v>2894</v>
      </c>
      <c r="AH548" t="s">
        <v>2922</v>
      </c>
      <c r="AI548" t="str">
        <f t="shared" si="49"/>
        <v>CSD,version,6.01</v>
      </c>
      <c r="AJ548" t="str">
        <f t="shared" si="50"/>
        <v>C5,H10</v>
      </c>
      <c r="AL548">
        <v>2</v>
      </c>
      <c r="AM548">
        <v>1</v>
      </c>
      <c r="AN548" t="str">
        <f>IF(AM548&lt;&gt;"",CONCATENATE(AC548," &amp; \ce{",SUBSTITUTE(AJ548,","," "),"} &amp; ",SUBSTITUTE(AF548,"."," ")," &amp; ",AL548," &amp; ",AM548," \\"),"")</f>
        <v>ZZZVYE &amp; \ce{C5 H10} &amp; Cyclopentane &amp; 2 &amp; 1 \\</v>
      </c>
    </row>
    <row r="549" spans="1:40" x14ac:dyDescent="0.2">
      <c r="A549" t="s">
        <v>821</v>
      </c>
      <c r="B549" t="s">
        <v>822</v>
      </c>
      <c r="C549">
        <v>1</v>
      </c>
      <c r="D549" t="s">
        <v>823</v>
      </c>
      <c r="E549" t="s">
        <v>823</v>
      </c>
      <c r="F549" t="s">
        <v>823</v>
      </c>
      <c r="G549" t="s">
        <v>2097</v>
      </c>
      <c r="H549" t="s">
        <v>830</v>
      </c>
      <c r="I549" t="s">
        <v>1952</v>
      </c>
      <c r="J549" t="s">
        <v>1172</v>
      </c>
      <c r="K549" t="s">
        <v>860</v>
      </c>
      <c r="L549" t="s">
        <v>1558</v>
      </c>
      <c r="M549" s="1" t="s">
        <v>2605</v>
      </c>
      <c r="N549">
        <v>2008</v>
      </c>
      <c r="O549" t="s">
        <v>830</v>
      </c>
      <c r="P549" t="s">
        <v>2098</v>
      </c>
      <c r="Q549" t="s">
        <v>830</v>
      </c>
      <c r="T549" t="s">
        <v>830</v>
      </c>
      <c r="U549" t="s">
        <v>830</v>
      </c>
      <c r="W549" t="s">
        <v>2094</v>
      </c>
      <c r="X549" t="s">
        <v>2100</v>
      </c>
      <c r="Y549" t="s">
        <v>830</v>
      </c>
      <c r="Z549">
        <v>1</v>
      </c>
      <c r="AA549">
        <v>1219</v>
      </c>
      <c r="AB549">
        <v>10</v>
      </c>
      <c r="AC549" t="str">
        <f t="shared" si="47"/>
        <v/>
      </c>
      <c r="AE549" t="str">
        <f t="shared" si="48"/>
        <v/>
      </c>
      <c r="AI549" t="str">
        <f t="shared" si="49"/>
        <v/>
      </c>
      <c r="AJ549" t="str">
        <f t="shared" si="50"/>
        <v/>
      </c>
      <c r="AN549" t="str">
        <f>IF(AM549&lt;&gt;"",CONCATENATE(AC549," &amp; ",SUBSTITUTE(AJ549,","," ")," &amp; ",SUBSTITUTE(AF549,"."," ")," &amp; ",AL549," &amp; ",AM549," \\"),"")</f>
        <v/>
      </c>
    </row>
    <row r="550" spans="1:40" x14ac:dyDescent="0.2">
      <c r="M550" s="1"/>
      <c r="AC550" t="str">
        <f t="shared" si="47"/>
        <v/>
      </c>
      <c r="AE550" t="str">
        <f t="shared" si="48"/>
        <v/>
      </c>
      <c r="AI550" t="str">
        <f t="shared" si="49"/>
        <v/>
      </c>
      <c r="AJ550" t="str">
        <f t="shared" si="50"/>
        <v/>
      </c>
      <c r="AN550" t="b">
        <f t="shared" ref="AN550:AN555" si="52">IF(AM550&lt;&gt;"",CONCATENATE(AC550," &amp; ",SUBSTITUTE(AJ550,","," ")," &amp; ",SUBSTITUTE(AF550,"."," ")," &amp; ",AL550," &amp; ",AM550," \\"))</f>
        <v>0</v>
      </c>
    </row>
    <row r="551" spans="1:40" x14ac:dyDescent="0.2">
      <c r="AC551" t="str">
        <f t="shared" si="47"/>
        <v/>
      </c>
      <c r="AE551" t="str">
        <f t="shared" si="48"/>
        <v/>
      </c>
      <c r="AI551" t="str">
        <f t="shared" si="49"/>
        <v/>
      </c>
      <c r="AJ551" t="str">
        <f t="shared" si="50"/>
        <v/>
      </c>
      <c r="AN551" t="b">
        <f t="shared" si="52"/>
        <v>0</v>
      </c>
    </row>
    <row r="552" spans="1:40" x14ac:dyDescent="0.2">
      <c r="A552" t="s">
        <v>2862</v>
      </c>
      <c r="AC552" t="str">
        <f t="shared" si="47"/>
        <v/>
      </c>
      <c r="AE552" t="str">
        <f t="shared" si="48"/>
        <v/>
      </c>
      <c r="AI552" t="str">
        <f t="shared" si="49"/>
        <v/>
      </c>
      <c r="AJ552" t="str">
        <f t="shared" si="50"/>
        <v/>
      </c>
      <c r="AN552" t="b">
        <f t="shared" si="52"/>
        <v>0</v>
      </c>
    </row>
    <row r="553" spans="1:40" x14ac:dyDescent="0.2">
      <c r="A553" t="s">
        <v>871</v>
      </c>
      <c r="AC553" t="str">
        <f t="shared" si="47"/>
        <v/>
      </c>
      <c r="AE553" t="str">
        <f t="shared" si="48"/>
        <v/>
      </c>
      <c r="AI553" t="str">
        <f t="shared" si="49"/>
        <v/>
      </c>
      <c r="AJ553" t="str">
        <f t="shared" si="50"/>
        <v/>
      </c>
      <c r="AN553" t="b">
        <f t="shared" si="52"/>
        <v>0</v>
      </c>
    </row>
    <row r="554" spans="1:40" x14ac:dyDescent="0.2">
      <c r="A554" t="s">
        <v>2606</v>
      </c>
      <c r="K554" t="s">
        <v>851</v>
      </c>
      <c r="M554" t="s">
        <v>919</v>
      </c>
      <c r="AC554" t="str">
        <f t="shared" si="47"/>
        <v/>
      </c>
      <c r="AE554" t="str">
        <f t="shared" si="48"/>
        <v/>
      </c>
      <c r="AI554" t="str">
        <f t="shared" si="49"/>
        <v/>
      </c>
      <c r="AJ554" t="str">
        <f t="shared" si="50"/>
        <v/>
      </c>
      <c r="AN554" t="b">
        <f t="shared" si="52"/>
        <v>0</v>
      </c>
    </row>
    <row r="555" spans="1:40" x14ac:dyDescent="0.2">
      <c r="A555" t="s">
        <v>921</v>
      </c>
      <c r="K555" t="s">
        <v>851</v>
      </c>
      <c r="M555" s="1" t="s">
        <v>2607</v>
      </c>
      <c r="AC555" t="str">
        <f t="shared" si="47"/>
        <v/>
      </c>
      <c r="AE555" t="str">
        <f t="shared" si="48"/>
        <v/>
      </c>
      <c r="AI555" t="str">
        <f t="shared" si="49"/>
        <v/>
      </c>
      <c r="AJ555" t="str">
        <f t="shared" si="50"/>
        <v/>
      </c>
      <c r="AN555" t="b">
        <f t="shared" si="52"/>
        <v>0</v>
      </c>
    </row>
    <row r="562" spans="10:10" x14ac:dyDescent="0.2">
      <c r="J562" s="10">
        <v>46263</v>
      </c>
    </row>
  </sheetData>
  <autoFilter ref="A1:AK555" xr:uid="{00000000-0001-0000-0000-000000000000}"/>
  <sortState xmlns:xlrd2="http://schemas.microsoft.com/office/spreadsheetml/2017/richdata2" ref="A2:AN549">
    <sortCondition ref="A2:A549"/>
    <sortCondition descending="1" ref="T2:T549"/>
    <sortCondition ref="C2:C549"/>
  </sortState>
  <phoneticPr fontId="21" type="noConversion"/>
  <conditionalFormatting sqref="H1 H40:Z44 H45:K45 H46:Z89 H90:K90 H91:Z93 H93:AB93 H94 H95:K95 H96 H97:K97 H98:AB101 H102:P110 H111 H112:P116 H117 H118:P121 H122:H124 H125:AB127 H128:H131 H132:P160 H161 H162:P172 H173:H174 H175:P180 H182:P186 H187:H189 H190:P194 H195:H196 H197:P197 H198:H201 H202:P250 H251:H252 H253:P310 H311 H312:P322 H459 H477:AB479 H481:AB484 H486:P496 H513:AB513 H518:AB518 H519:H527 M45:V45 X45:Z45 M90:V90 X90:AB90 M97:AB97 Q102:AB108 Q103:Z110 Q110:AB110 Q112:AB118 Q119:V121 X119:AB122 Q129:Z160 Q135:AB160 Q162:AB164 Q166:AB168 Q171:AB178 Q181:Z300 Q205:AB208 Q210:AB231 Q233:AB235 Q237:AB237 Q243:AB248 Q251:AB252 Q255:AB274 Q277:AB280 Q282:AB283 Q294:AB295 Q297:AB297 Q301:R301 T301:Z301 Q302:Z310 Q303:AB303 Q307:AB307 Q309:AB310 Q312:AB334 Q350:Z354 Q355:V357 Q358:Z382 Q382:AB382 Q383:V385 Q386:Z410 Q411:V411 X411:Z411 Q412:Z443 Q444:V445 X444:Z445 Q446:Z448 Q449:V457 Y456:Z457 Q458:Z458 Q486:V487 X486:AB494 Q488:W495 Q496:AB496 J498:O498 P498:V505 N499:O500 J501:O503 N504:O504 J505:O505 K528:AB531 A546:D546 G546:AB546 AK546 AO546:XFD546">
    <cfRule type="containsBlanks" dxfId="73" priority="85">
      <formula>LEN(TRIM(A1))=0</formula>
    </cfRule>
  </conditionalFormatting>
  <conditionalFormatting sqref="H2:H5 H16:S17 H18:Z20 H21 H22:Z34 H28:AB31 H35:V39 H82:AB84 H90:K90 H458:K458 H476 H520:H523 H524:I531 U16:Z17 O21:AB21 X35:Z39 J91:AB92 AA232 W249:AB250 X347:Z349 X355:Z357 X383:AB385 X449:Z455 M458:O458">
    <cfRule type="containsBlanks" dxfId="72" priority="344">
      <formula>LEN(TRIM(H2))=0</formula>
    </cfRule>
  </conditionalFormatting>
  <conditionalFormatting sqref="H2:H231 I35:I39 I43:I44 H233:H545 H547:H549">
    <cfRule type="cellIs" dxfId="71" priority="342" operator="equal">
      <formula>"Ready"</formula>
    </cfRule>
  </conditionalFormatting>
  <conditionalFormatting sqref="H233:H545 H1:H231 H547:H1048576">
    <cfRule type="cellIs" dxfId="70" priority="84" operator="equal">
      <formula>"Waiting to upload"</formula>
    </cfRule>
  </conditionalFormatting>
  <conditionalFormatting sqref="H485 H497:H512 H514:H515 H516:K517 N247:O248 N301:O302 W301:AB302 R302:V302 O480 Q480:W480 Y480:AB480 Y495:AB495 J497:L497 J499:L500 J504:L504 J506:L506 N506:O506 J507:O511 J512:L512 N512:O512">
    <cfRule type="containsBlanks" dxfId="69" priority="273">
      <formula>LEN(TRIM(H247))=0</formula>
    </cfRule>
  </conditionalFormatting>
  <conditionalFormatting sqref="H327:I329">
    <cfRule type="containsBlanks" dxfId="68" priority="46">
      <formula>LEN(TRIM(H327))=0</formula>
    </cfRule>
  </conditionalFormatting>
  <conditionalFormatting sqref="H334:I334 K334:P334 H347:V349">
    <cfRule type="containsBlanks" dxfId="67" priority="45">
      <formula>LEN(TRIM(H334))=0</formula>
    </cfRule>
  </conditionalFormatting>
  <conditionalFormatting sqref="H480:K480">
    <cfRule type="containsBlanks" dxfId="66" priority="115">
      <formula>LEN(TRIM(H480))=0</formula>
    </cfRule>
  </conditionalFormatting>
  <conditionalFormatting sqref="H446:O446">
    <cfRule type="containsBlanks" dxfId="65" priority="40">
      <formula>LEN(TRIM(H446))=0</formula>
    </cfRule>
  </conditionalFormatting>
  <conditionalFormatting sqref="H323:P326 J327:P328 J329:L329 N329:P329">
    <cfRule type="containsBlanks" dxfId="64" priority="68">
      <formula>LEN(TRIM(H323))=0</formula>
    </cfRule>
  </conditionalFormatting>
  <conditionalFormatting sqref="H330:P333">
    <cfRule type="containsBlanks" dxfId="63" priority="20">
      <formula>LEN(TRIM(H330))=0</formula>
    </cfRule>
  </conditionalFormatting>
  <conditionalFormatting sqref="H335:P346">
    <cfRule type="containsBlanks" dxfId="62" priority="13">
      <formula>LEN(TRIM(H335))=0</formula>
    </cfRule>
  </conditionalFormatting>
  <conditionalFormatting sqref="H350:P385">
    <cfRule type="containsBlanks" dxfId="61" priority="1">
      <formula>LEN(TRIM(H350))=0</formula>
    </cfRule>
  </conditionalFormatting>
  <conditionalFormatting sqref="H388:P445">
    <cfRule type="containsBlanks" dxfId="60" priority="18">
      <formula>LEN(TRIM(H388))=0</formula>
    </cfRule>
  </conditionalFormatting>
  <conditionalFormatting sqref="H447:P457">
    <cfRule type="containsBlanks" dxfId="59" priority="15">
      <formula>LEN(TRIM(H447))=0</formula>
    </cfRule>
  </conditionalFormatting>
  <conditionalFormatting sqref="H386:AB387">
    <cfRule type="containsBlanks" dxfId="58" priority="3">
      <formula>LEN(TRIM(H386))=0</formula>
    </cfRule>
  </conditionalFormatting>
  <conditionalFormatting sqref="I6:I7">
    <cfRule type="containsBlanks" dxfId="57" priority="11">
      <formula>LEN(TRIM(I6))=0</formula>
    </cfRule>
  </conditionalFormatting>
  <conditionalFormatting sqref="I8:I10">
    <cfRule type="cellIs" dxfId="56" priority="102" operator="equal">
      <formula>"Ready"</formula>
    </cfRule>
    <cfRule type="cellIs" dxfId="55" priority="101" operator="equal">
      <formula>"Waiting to upload"</formula>
    </cfRule>
  </conditionalFormatting>
  <conditionalFormatting sqref="I15">
    <cfRule type="containsBlanks" dxfId="54" priority="12">
      <formula>LEN(TRIM(I15))=0</formula>
    </cfRule>
  </conditionalFormatting>
  <conditionalFormatting sqref="I22:I23">
    <cfRule type="cellIs" dxfId="53" priority="109" operator="equal">
      <formula>"Waiting to upload"</formula>
    </cfRule>
    <cfRule type="cellIs" dxfId="52" priority="110" operator="equal">
      <formula>"Ready"</formula>
    </cfRule>
  </conditionalFormatting>
  <conditionalFormatting sqref="I43:I44 I35:I39">
    <cfRule type="cellIs" dxfId="51" priority="271" operator="equal">
      <formula>"Waiting to upload"</formula>
    </cfRule>
  </conditionalFormatting>
  <conditionalFormatting sqref="I91:I92">
    <cfRule type="cellIs" dxfId="50" priority="108" operator="equal">
      <formula>"Ready"</formula>
    </cfRule>
    <cfRule type="cellIs" dxfId="49" priority="107" operator="equal">
      <formula>"Waiting to upload"</formula>
    </cfRule>
  </conditionalFormatting>
  <conditionalFormatting sqref="I95">
    <cfRule type="containsBlanks" dxfId="48" priority="37">
      <formula>LEN(TRIM(I95))=0</formula>
    </cfRule>
  </conditionalFormatting>
  <conditionalFormatting sqref="I97">
    <cfRule type="containsBlanks" dxfId="47" priority="35">
      <formula>LEN(TRIM(I97))=0</formula>
    </cfRule>
  </conditionalFormatting>
  <conditionalFormatting sqref="I119:I121">
    <cfRule type="cellIs" dxfId="46" priority="99" operator="equal">
      <formula>"Waiting to upload"</formula>
    </cfRule>
    <cfRule type="cellIs" dxfId="45" priority="100" operator="equal">
      <formula>"Ready"</formula>
    </cfRule>
  </conditionalFormatting>
  <conditionalFormatting sqref="I168">
    <cfRule type="containsBlanks" dxfId="44" priority="34">
      <formula>LEN(TRIM(I168))=0</formula>
    </cfRule>
  </conditionalFormatting>
  <conditionalFormatting sqref="I237">
    <cfRule type="cellIs" dxfId="43" priority="217" operator="equal">
      <formula>"Ready"</formula>
    </cfRule>
    <cfRule type="cellIs" dxfId="42" priority="216" operator="equal">
      <formula>"Waiting to upload"</formula>
    </cfRule>
  </conditionalFormatting>
  <conditionalFormatting sqref="I283">
    <cfRule type="containsBlanks" dxfId="41" priority="30">
      <formula>LEN(TRIM(I283))=0</formula>
    </cfRule>
  </conditionalFormatting>
  <conditionalFormatting sqref="I303">
    <cfRule type="containsBlanks" dxfId="40" priority="33">
      <formula>LEN(TRIM(I303))=0</formula>
    </cfRule>
  </conditionalFormatting>
  <conditionalFormatting sqref="I307">
    <cfRule type="containsBlanks" dxfId="39" priority="32">
      <formula>LEN(TRIM(I307))=0</formula>
    </cfRule>
  </conditionalFormatting>
  <conditionalFormatting sqref="I309">
    <cfRule type="containsBlanks" dxfId="38" priority="31">
      <formula>LEN(TRIM(I309))=0</formula>
    </cfRule>
  </conditionalFormatting>
  <conditionalFormatting sqref="I347:I349">
    <cfRule type="cellIs" dxfId="37" priority="93" operator="equal">
      <formula>"Waiting to upload"</formula>
    </cfRule>
    <cfRule type="cellIs" dxfId="36" priority="94" operator="equal">
      <formula>"Ready"</formula>
    </cfRule>
  </conditionalFormatting>
  <conditionalFormatting sqref="I355:I356">
    <cfRule type="cellIs" dxfId="35" priority="95" operator="equal">
      <formula>"Waiting to upload"</formula>
    </cfRule>
    <cfRule type="cellIs" dxfId="34" priority="96" operator="equal">
      <formula>"Ready"</formula>
    </cfRule>
  </conditionalFormatting>
  <conditionalFormatting sqref="I449:I455 I383:I385">
    <cfRule type="cellIs" dxfId="33" priority="92" operator="equal">
      <formula>"Ready"</formula>
    </cfRule>
    <cfRule type="cellIs" dxfId="32" priority="91" operator="equal">
      <formula>"Waiting to upload"</formula>
    </cfRule>
  </conditionalFormatting>
  <conditionalFormatting sqref="I463:I464">
    <cfRule type="containsBlanks" dxfId="31" priority="5">
      <formula>LEN(TRIM(I463))=0</formula>
    </cfRule>
  </conditionalFormatting>
  <conditionalFormatting sqref="I473:I474">
    <cfRule type="containsBlanks" dxfId="30" priority="82">
      <formula>LEN(TRIM(I473))=0</formula>
    </cfRule>
  </conditionalFormatting>
  <conditionalFormatting sqref="I503">
    <cfRule type="containsBlanks" dxfId="29" priority="2">
      <formula>LEN(TRIM(I503))=0</formula>
    </cfRule>
  </conditionalFormatting>
  <conditionalFormatting sqref="I21:K21">
    <cfRule type="containsBlanks" dxfId="28" priority="10">
      <formula>LEN(TRIM(I21))=0</formula>
    </cfRule>
  </conditionalFormatting>
  <conditionalFormatting sqref="I252:O252">
    <cfRule type="containsBlanks" dxfId="27" priority="42">
      <formula>LEN(TRIM(I252))=0</formula>
    </cfRule>
  </conditionalFormatting>
  <conditionalFormatting sqref="I117:P117">
    <cfRule type="containsBlanks" dxfId="26" priority="73">
      <formula>LEN(TRIM(I117))=0</formula>
    </cfRule>
  </conditionalFormatting>
  <conditionalFormatting sqref="I173:P174">
    <cfRule type="containsBlanks" dxfId="25" priority="69">
      <formula>LEN(TRIM(I173))=0</formula>
    </cfRule>
  </conditionalFormatting>
  <conditionalFormatting sqref="I187:P189">
    <cfRule type="containsBlanks" dxfId="24" priority="51">
      <formula>LEN(TRIM(I187))=0</formula>
    </cfRule>
  </conditionalFormatting>
  <conditionalFormatting sqref="I195:P196">
    <cfRule type="containsBlanks" dxfId="23" priority="48">
      <formula>LEN(TRIM(I195))=0</formula>
    </cfRule>
  </conditionalFormatting>
  <conditionalFormatting sqref="I198:P201">
    <cfRule type="containsBlanks" dxfId="22" priority="47">
      <formula>LEN(TRIM(I198))=0</formula>
    </cfRule>
  </conditionalFormatting>
  <conditionalFormatting sqref="I251:P251">
    <cfRule type="containsBlanks" dxfId="21" priority="7">
      <formula>LEN(TRIM(I251))=0</formula>
    </cfRule>
  </conditionalFormatting>
  <conditionalFormatting sqref="I311:V311">
    <cfRule type="containsBlanks" dxfId="20" priority="4">
      <formula>LEN(TRIM(I311))=0</formula>
    </cfRule>
  </conditionalFormatting>
  <conditionalFormatting sqref="I459:V459 X459:Z459 X463:Z464">
    <cfRule type="containsBlanks" dxfId="19" priority="14">
      <formula>LEN(TRIM(I459))=0</formula>
    </cfRule>
  </conditionalFormatting>
  <conditionalFormatting sqref="I122:W122">
    <cfRule type="containsBlanks" dxfId="18" priority="55">
      <formula>LEN(TRIM(I122))=0</formula>
    </cfRule>
  </conditionalFormatting>
  <conditionalFormatting sqref="I94:AB94">
    <cfRule type="containsBlanks" dxfId="17" priority="54">
      <formula>LEN(TRIM(I94))=0</formula>
    </cfRule>
  </conditionalFormatting>
  <conditionalFormatting sqref="I96:AB96">
    <cfRule type="containsBlanks" dxfId="16" priority="66">
      <formula>LEN(TRIM(I96))=0</formula>
    </cfRule>
  </conditionalFormatting>
  <conditionalFormatting sqref="I111:AB111">
    <cfRule type="containsBlanks" dxfId="15" priority="62">
      <formula>LEN(TRIM(I111))=0</formula>
    </cfRule>
  </conditionalFormatting>
  <conditionalFormatting sqref="I123:AB124">
    <cfRule type="containsBlanks" dxfId="14" priority="9">
      <formula>LEN(TRIM(I123))=0</formula>
    </cfRule>
  </conditionalFormatting>
  <conditionalFormatting sqref="I128:AB131">
    <cfRule type="containsBlanks" dxfId="13" priority="53">
      <formula>LEN(TRIM(I128))=0</formula>
    </cfRule>
  </conditionalFormatting>
  <conditionalFormatting sqref="I161:AB161">
    <cfRule type="containsBlanks" dxfId="12" priority="50">
      <formula>LEN(TRIM(I161))=0</formula>
    </cfRule>
  </conditionalFormatting>
  <conditionalFormatting sqref="I519:AB519">
    <cfRule type="containsBlanks" dxfId="11" priority="41">
      <formula>LEN(TRIM(I519))=0</formula>
    </cfRule>
  </conditionalFormatting>
  <conditionalFormatting sqref="J22:AB23">
    <cfRule type="containsBlanks" dxfId="10" priority="103">
      <formula>LEN(TRIM(J22))=0</formula>
    </cfRule>
  </conditionalFormatting>
  <conditionalFormatting sqref="M181">
    <cfRule type="containsBlanks" dxfId="9" priority="6">
      <formula>LEN(TRIM(M181))=0</formula>
    </cfRule>
  </conditionalFormatting>
  <conditionalFormatting sqref="M463:M464">
    <cfRule type="containsBlanks" dxfId="8" priority="27">
      <formula>LEN(TRIM(M463))=0</formula>
    </cfRule>
  </conditionalFormatting>
  <conditionalFormatting sqref="M95:AB95">
    <cfRule type="containsBlanks" dxfId="7" priority="36">
      <formula>LEN(TRIM(M95))=0</formula>
    </cfRule>
  </conditionalFormatting>
  <conditionalFormatting sqref="P347:P348">
    <cfRule type="containsBlanks" dxfId="6" priority="86">
      <formula>LEN(TRIM(P347))=0</formula>
    </cfRule>
  </conditionalFormatting>
  <conditionalFormatting sqref="Q162:Z179 Q180:AB180 H180:P181 Q182:AB202 X311:AB311 Q312:Z346">
    <cfRule type="containsBlanks" dxfId="5" priority="38">
      <formula>LEN(TRIM(H162))=0</formula>
    </cfRule>
  </conditionalFormatting>
  <conditionalFormatting sqref="S28">
    <cfRule type="cellIs" dxfId="4" priority="289" operator="equal">
      <formula>"Waiting to upload"</formula>
    </cfRule>
    <cfRule type="cellIs" dxfId="3" priority="290" operator="equal">
      <formula>"Ready"</formula>
    </cfRule>
  </conditionalFormatting>
  <conditionalFormatting sqref="W43:W44">
    <cfRule type="containsBlanks" dxfId="2" priority="104">
      <formula>LEN(TRIM(W43))=0</formula>
    </cfRule>
  </conditionalFormatting>
  <conditionalFormatting sqref="W473:W474">
    <cfRule type="containsBlanks" dxfId="1" priority="80">
      <formula>LEN(TRIM(W473))=0</formula>
    </cfRule>
  </conditionalFormatting>
  <conditionalFormatting sqref="X453:X455">
    <cfRule type="containsBlanks" dxfId="0" priority="90">
      <formula>LEN(TRIM(X453))=0</formula>
    </cfRule>
  </conditionalFormatting>
  <hyperlinks>
    <hyperlink ref="M439" r:id="rId1" display="http://www.amercrystalassn.org/documents/TransactionsVol39Part1.pdf" xr:uid="{00000000-0004-0000-0000-000000000000}"/>
    <hyperlink ref="M76" r:id="rId2" display="http://www.amercrystalassn.org/documents/TransactionsVol39Part1.pdf" xr:uid="{00000000-0004-0000-0000-000001000000}"/>
    <hyperlink ref="M178" r:id="rId3" display="http://www.amercrystalassn.org/documents/TransactionsVol39Part1.pdf" xr:uid="{00000000-0004-0000-0000-000002000000}"/>
    <hyperlink ref="M299" r:id="rId4" location="!divAbstract" display="https://pubs.rsc.org/en/Content/ArticleLanding/2019/CE/C8CE01874J - !divAbstract" xr:uid="{00000000-0004-0000-0000-000003000000}"/>
    <hyperlink ref="M116" r:id="rId5" display="https://pubs.acs.org/doi/10.1021/jacs.9b06634" xr:uid="{00000000-0004-0000-0000-000004000000}"/>
    <hyperlink ref="M5" r:id="rId6" display="http://pubs.acs.org/doi/abs/10.1021/cg049922u" xr:uid="{00000000-0004-0000-0000-000007000000}"/>
    <hyperlink ref="M312" r:id="rId7" display="http://www.rsc.org/publishing/journals/CE/article.asp?doi=b504756k" xr:uid="{00000000-0004-0000-0000-000008000000}"/>
    <hyperlink ref="M313" r:id="rId8" display="http://www.rsc.org/publishing/journals/CE/article.asp?doi=b504756k" xr:uid="{00000000-0004-0000-0000-000009000000}"/>
    <hyperlink ref="M8" r:id="rId9" display="http://pubs.acs.org/doi/abs/10.1021/cg049661o" xr:uid="{00000000-0004-0000-0000-00000A000000}"/>
    <hyperlink ref="M286" r:id="rId10" display="http://pubs.acs.org/doi/abs/10.1021/cg049661o" xr:uid="{00000000-0004-0000-0000-00000C000000}"/>
    <hyperlink ref="M98" r:id="rId11" display="http://pubs.acs.org/doi/abs/10.1021/cg049661o" xr:uid="{00000000-0004-0000-0000-00000D000000}"/>
    <hyperlink ref="M214" r:id="rId12" display="http://pubs.acs.org/doi/abs/10.1021/cg049661o" xr:uid="{00000000-0004-0000-0000-00000E000000}"/>
    <hyperlink ref="M20" r:id="rId13" display="http://pubs.acs.org/doi/abs/10.1021/cg500331u" xr:uid="{00000000-0004-0000-0000-00000F000000}"/>
    <hyperlink ref="M44" r:id="rId14" display="http://www.rsc.org/Publishing/Journals/NJ/article.asp?doi=b806763e" xr:uid="{00000000-0004-0000-0000-000012000000}"/>
    <hyperlink ref="M146" r:id="rId15" display="http://www.rsc.org/Publishing/Journals/NJ/article.asp?doi=b806763e" xr:uid="{00000000-0004-0000-0000-000014000000}"/>
    <hyperlink ref="M461" r:id="rId16" display="http://dx.doi.org/10.1107/S2052520616007447" xr:uid="{00000000-0004-0000-0000-000031000000}"/>
    <hyperlink ref="M332" r:id="rId17" display="http://pubs.acs.org/doi/abs/10.1021/acs.cgd.6b01669" xr:uid="{00000000-0004-0000-0000-00003D000000}"/>
    <hyperlink ref="M362" r:id="rId18" display="http://journals.iucr.org/b/issues/2006/02/00/so5001/index.html" xr:uid="{00000000-0004-0000-0000-000041000000}"/>
    <hyperlink ref="M120" r:id="rId19" display="http://pubs.acs.org/doi/abs/10.1021/cg070131c" xr:uid="{00000000-0004-0000-0000-000048000000}"/>
    <hyperlink ref="M425" r:id="rId20" display="http://pubs.acs.org/doi/abs/10.1021/cg070131c" xr:uid="{00000000-0004-0000-0000-00004B000000}"/>
    <hyperlink ref="M108" r:id="rId21" display="http://pubs.acs.org/doi/abs/10.1021/cg070131c" xr:uid="{00000000-0004-0000-0000-00004D000000}"/>
    <hyperlink ref="M182" r:id="rId22" display="http://pubs.acs.org/doi/abs/10.1021/cg2005612" xr:uid="{00000000-0004-0000-0000-000054000000}"/>
    <hyperlink ref="M226" r:id="rId23" display="http://pubs.acs.org/doi/abs/10.1021/cg100405s" xr:uid="{00000000-0004-0000-0000-000055000000}"/>
    <hyperlink ref="M417" r:id="rId24" display="http://pubs.acs.org/doi/abs/10.1021/cg100405s" xr:uid="{00000000-0004-0000-0000-000056000000}"/>
    <hyperlink ref="M164" r:id="rId25" display="http://pubs.acs.org/doi/abs/10.1021/ct700045r" xr:uid="{00000000-0004-0000-0000-000059000000}"/>
    <hyperlink ref="M110" r:id="rId26" display="http://pubs.acs.org/doi/full/10.1021/cg9014306" xr:uid="{00000000-0004-0000-0000-00005B000000}"/>
    <hyperlink ref="M245" r:id="rId27" display="http://pubs.acs.org/doi/full/10.1021/cg9014306" xr:uid="{00000000-0004-0000-0000-00005D000000}"/>
    <hyperlink ref="M218" r:id="rId28" display="http://pubs.acs.org/doi/full/10.1021/cg901230b" xr:uid="{00000000-0004-0000-0000-00005E000000}"/>
    <hyperlink ref="M538" r:id="rId29" display="http://pubs.acs.org/doi/abs/10.1021/cg101162a" xr:uid="{00000000-0004-0000-0000-000060000000}"/>
    <hyperlink ref="M315" r:id="rId30" display="http://pubs.rsc.org/en/content/articlelanding/2011/cc/c1cc10762c" xr:uid="{00000000-0004-0000-0000-000061000000}"/>
    <hyperlink ref="M25" r:id="rId31" display="http://pubs.rsc.org/en/content/articlelanding/2011/cc/c1cc10762c" xr:uid="{00000000-0004-0000-0000-00006A000000}"/>
    <hyperlink ref="M406" r:id="rId32" display="http://pubs.rsc.org/en/content/articlelanding/2011/cc/c1cc10762c" xr:uid="{00000000-0004-0000-0000-00006E000000}"/>
    <hyperlink ref="M155" r:id="rId33" display="http://www.sciencedirect.com/science/article/pii/S0378517311002997" xr:uid="{00000000-0004-0000-0000-00006F000000}"/>
    <hyperlink ref="M183" r:id="rId34" display="http://www.sciencedirect.com/science/article/pii/S0378517311002997" xr:uid="{00000000-0004-0000-0000-000070000000}"/>
    <hyperlink ref="M331" r:id="rId35" display="http://www.sciencedirect.com/science/article/pii/S0378517311002997" xr:uid="{00000000-0004-0000-0000-000072000000}"/>
    <hyperlink ref="M428" r:id="rId36" display="http://www.sciencedirect.com/science/article/pii/S0378517311002997" xr:uid="{00000000-0004-0000-0000-000073000000}"/>
    <hyperlink ref="M320" r:id="rId37" display="http://pubs.acs.org/doi/abs/10.1021/cg1010049" xr:uid="{00000000-0004-0000-0000-000074000000}"/>
    <hyperlink ref="M291" r:id="rId38" display="http://pubs.acs.org/doi/abs/10.1021/jp211948q" xr:uid="{00000000-0004-0000-0000-000088000000}"/>
    <hyperlink ref="M555" r:id="rId39" display="http://pubs.acs.org/doi/abs/10.1021/ct200354t" xr:uid="{00000000-0004-0000-0000-00008D000000}"/>
    <hyperlink ref="M256" r:id="rId40" display="http://www.rsc.org/Publishing/Journals/CE/article.asp?doi=b714566g" xr:uid="{00000000-0004-0000-0000-000094000000}"/>
    <hyperlink ref="M458" r:id="rId41" display="http://www.rsc.org/Publishing/Journals/CE/article.asp?doi=b714566g" xr:uid="{F8F95CA4-FADC-4F94-88EB-137B7A8EAEF9}"/>
    <hyperlink ref="M65" r:id="rId42" display="http://www3.interscience.wiley.com/cgi-bin/fulltext/112715500/HTMLSTART" xr:uid="{00000000-0004-0000-0000-000092000000}"/>
    <hyperlink ref="M55" r:id="rId43" display="http://pubs.acs.org/doi/abs/10.1021/cg070131c" xr:uid="{55577054-42C8-498D-BD08-BEA42041CBF1}"/>
    <hyperlink ref="M160" r:id="rId44" display="http://pubs.acs.org/doi/abs/10.1021/cg070131c" xr:uid="{B85210EA-C822-4AF5-8102-0C3B5F85BED7}"/>
    <hyperlink ref="M190" r:id="rId45" display="http://pubs.acs.org/doi/abs/10.1021/cg070131c" xr:uid="{2F42530A-6C1A-45E2-A03D-4B28452F5E1C}"/>
    <hyperlink ref="M541" r:id="rId46" display="http://pubs.acs.org/doi/abs/10.1021/cg070131c" xr:uid="{4C3E18DD-3760-4F36-9812-BF6654621B8C}"/>
    <hyperlink ref="M23" r:id="rId47" display="http://pubs.acs.org/doi/abs/10.1021/ja0498235" xr:uid="{15096AA7-0B6D-4AB3-A2E5-E4492C9EC950}"/>
    <hyperlink ref="M114" r:id="rId48" display="http://pubs.acs.org/doi/abs/10.1021/cg800517h" xr:uid="{6875A48F-19CC-4D51-A29F-38634870B2E2}"/>
    <hyperlink ref="M45" r:id="rId49" display="http://www.rsc.org/Publishing/Journals/NJ/article.asp?doi=b806763e" xr:uid="{5EE1D145-B24F-44D1-BC0D-346DF671C1C4}"/>
    <hyperlink ref="M87" r:id="rId50" display="http://www.rsc.org/Publishing/Journals/NJ/article.asp?doi=b806763e" xr:uid="{B4BB4D20-AAEE-4CE2-96AE-B98FAF9981AA}"/>
    <hyperlink ref="M250" r:id="rId51" display="http://www.rsc.org/Publishing/Journals/NJ/article.asp?doi=b806763e" xr:uid="{0CC5C025-4933-44D3-A98B-C324106A08C8}"/>
    <hyperlink ref="M185" r:id="rId52" display="http://www.rsc.org/Publishing/Journals/NJ/article.asp?doi=b806763e" xr:uid="{6F791770-6ADD-4B8E-A9DE-CB7AA6DB5782}"/>
    <hyperlink ref="M429" r:id="rId53" display="http://www.rsc.org/Publishing/Journals/NJ/article.asp?doi=b806763e" xr:uid="{6E265289-60A3-4B14-9902-E77405947B7D}"/>
    <hyperlink ref="M436" r:id="rId54" display="http://www.rsc.org/Publishing/Journals/NJ/article.asp?doi=b806763e" xr:uid="{3FD3D50D-5C02-452C-A8CE-10B38455906A}"/>
    <hyperlink ref="M378" r:id="rId55" display="http://www.rsc.org/Publishing/Journals/NJ/article.asp?doi=b806763e" xr:uid="{2A4215F3-3B64-4ED1-A36B-C438F76FF8D2}"/>
    <hyperlink ref="M314" r:id="rId56" display="http://www.rsc.org/Publishing/Journals/NJ/article.asp?doi=b806763e" xr:uid="{AE5A7ECC-EDC4-4B8B-8DC3-90F4057F32B3}"/>
    <hyperlink ref="M251" r:id="rId57" display="http://www.rsc.org/Publishing/Journals/NJ/article.asp?doi=b806763e" xr:uid="{8ED10BFF-C839-4314-A518-17BC5FBBFC21}"/>
    <hyperlink ref="M115" r:id="rId58" display="http://www.rsc.org/Publishing/Journals/NJ/article.asp?doi=b806763e" xr:uid="{6EDB9E94-32BE-4731-9E17-66DBE539B64F}"/>
    <hyperlink ref="M80" r:id="rId59" display="http://pubs.acs.org/doi/abs/10.1021/acs.cgd.6b00973" xr:uid="{00000000-0004-0000-0000-000040000000}"/>
    <hyperlink ref="M383" r:id="rId60" display="https://pubs.acs.org/doi/10.1021/acsomega.9b00648" xr:uid="{6067F6D3-98D5-465E-A4EA-920C659410BD}"/>
    <hyperlink ref="M3" r:id="rId61" display="https://pubs.acs.org/doi/10.1021/acs.cgd.9b00557" xr:uid="{00000000-0004-0000-0000-000005000000}"/>
    <hyperlink ref="M351" r:id="rId62" location="!divAbstract" display="http://pubs.rsc.org/en/Content/ArticleLanding/2018/CE/C8CE00625C - !divAbstract" xr:uid="{00000000-0004-0000-0000-000006000000}"/>
    <hyperlink ref="M34" r:id="rId63" display="http://pubs.acs.org/doi/abs/10.1021/cg400090r" xr:uid="{00000000-0004-0000-0000-00001C000000}"/>
    <hyperlink ref="M35" r:id="rId64" location="!divAbstract" display="http://pubs.rsc.org/en/Content/ArticleLanding/2018/FD/C8FD00010G - !divAbstract" xr:uid="{00000000-0004-0000-0000-00001D000000}"/>
    <hyperlink ref="M395" r:id="rId65" location="!divAbstract" display="http://pubs.rsc.org/en/Content/ArticleLanding/2018/FD/C8FD00010G - !divAbstract" xr:uid="{00000000-0004-0000-0000-00001E000000}"/>
    <hyperlink ref="M526" r:id="rId66" location="!divAbstract" display="http://pubs.rsc.org/en/Content/ArticleLanding/2018/FD/C8FD00010G - !divAbstract" xr:uid="{00000000-0004-0000-0000-00001F000000}"/>
    <hyperlink ref="M469" r:id="rId67" location="!divAbstract" display="http://pubs.rsc.org/en/Content/ArticleLanding/2018/FD/C8FD00010G - !divAbstract" xr:uid="{00000000-0004-0000-0000-000020000000}"/>
    <hyperlink ref="M478" r:id="rId68" location="!divAbstract" display="http://pubs.rsc.org/en/Content/ArticleLanding/2018/FD/C8FD00010G - !divAbstract" xr:uid="{00000000-0004-0000-0000-000021000000}"/>
    <hyperlink ref="M266" r:id="rId69" location="!divAbstract" display="http://pubs.rsc.org/en/Content/ArticleLanding/2018/FD/C8FD00010G - !divAbstract" xr:uid="{00000000-0004-0000-0000-000022000000}"/>
    <hyperlink ref="M399" r:id="rId70" display="http://pubs.acs.org/doi/full/10.1021/jacs.5b05938" xr:uid="{00000000-0004-0000-0000-000023000000}"/>
    <hyperlink ref="M272" r:id="rId71" display="http://journals.iucr.org/b/issues/2011/06/00/bk5106/index.html" xr:uid="{00000000-0004-0000-0000-000025000000}"/>
    <hyperlink ref="M268" r:id="rId72" display="http://journals.iucr.org/b/issues/2011/06/00/bk5106/index.html" xr:uid="{00000000-0004-0000-0000-000026000000}"/>
    <hyperlink ref="M265" r:id="rId73" display="http://journals.iucr.org/b/issues/2011/06/00/bk5106/index.html" xr:uid="{00000000-0004-0000-0000-000027000000}"/>
    <hyperlink ref="M210" r:id="rId74" display="http://journals.iucr.org/b/issues/2011/06/00/bk5106/index.html" xr:uid="{00000000-0004-0000-0000-000029000000}"/>
    <hyperlink ref="M236" r:id="rId75" display="http://dx.doi.org/10.1107/S2052520616007447" xr:uid="{00000000-0004-0000-0000-000030000000}"/>
    <hyperlink ref="M468" r:id="rId76" display="http://dx.doi.org/10.1107/S2052520616007447" xr:uid="{00000000-0004-0000-0000-000032000000}"/>
    <hyperlink ref="M323" r:id="rId77" display="http://pubs.acs.org/doi/abs/10.1021/cg3007348" xr:uid="{00000000-0004-0000-0000-000039000000}"/>
    <hyperlink ref="M199" r:id="rId78" display="http://pubs.acs.org/doi/abs/10.1021/cg3007348" xr:uid="{00000000-0004-0000-0000-00003B000000}"/>
    <hyperlink ref="M531" r:id="rId79" display="http://pubs.rsc.org/en/Content/ArticleLanding/2012/CE/C2CE25940K" xr:uid="{00000000-0004-0000-0000-00003C000000}"/>
    <hyperlink ref="M367" r:id="rId80" display="http://pubs.rsc.org/en/Content/ArticleLanding/2012/CP/C2CP40644F" xr:uid="{00000000-0004-0000-0000-00003F000000}"/>
    <hyperlink ref="M47" r:id="rId81" display="http://pubs.acs.org/doi/abs/10.1021/ja0687466" xr:uid="{00000000-0004-0000-0000-000046000000}"/>
    <hyperlink ref="M447" r:id="rId82" display="http://pubs.rsc.org/en/content/articlelanding/2013/ce/c2ce26097b" xr:uid="{00000000-0004-0000-0000-00004E000000}"/>
    <hyperlink ref="M434" r:id="rId83" display="http://pubs.acs.org/doi/abs/10.1021/cg301826s" xr:uid="{00000000-0004-0000-0000-00004F000000}"/>
    <hyperlink ref="M454" r:id="rId84" display="http://dx.doi.org/10.1016/j.molstruc.2014.01.014" xr:uid="{00000000-0004-0000-0000-000050000000}"/>
    <hyperlink ref="M540" r:id="rId85" display="http://pubs.acs.org/doi/abs/10.1021/cg101162a" xr:uid="{00000000-0004-0000-0000-000051000000}"/>
    <hyperlink ref="M539" r:id="rId86" display="http://pubs.acs.org/doi/abs/10.1021/cg101162a" xr:uid="{00000000-0004-0000-0000-000052000000}"/>
    <hyperlink ref="M253" r:id="rId87" display="http://pubs.acs.org/doi/abs/10.1021/cg2005612" xr:uid="{00000000-0004-0000-0000-000053000000}"/>
    <hyperlink ref="M549" r:id="rId88" display="http://pubs.acs.org/doi/abs/10.1021/jp710017y" xr:uid="{00000000-0004-0000-0000-000058000000}"/>
    <hyperlink ref="M317" r:id="rId89" display="http://pubs.rsc.org/en/content/articlelanding/2011/cc/c1cc10762c" xr:uid="{00000000-0004-0000-0000-000063000000}"/>
    <hyperlink ref="M529" r:id="rId90" display="http://pubs.rsc.org/en/content/articlelanding/2011/cc/c1cc10762c" xr:uid="{00000000-0004-0000-0000-000066000000}"/>
    <hyperlink ref="M403" r:id="rId91" display="http://pubs.rsc.org/en/content/articlelanding/2011/cc/c1cc10762c" xr:uid="{00000000-0004-0000-0000-000069000000}"/>
    <hyperlink ref="M26" r:id="rId92" display="http://pubs.rsc.org/en/content/articlelanding/2011/cc/c1cc10762c" xr:uid="{00000000-0004-0000-0000-00006B000000}"/>
    <hyperlink ref="M184" r:id="rId93" display="http://www.sciencedirect.com/science/article/pii/S0378517311002997" xr:uid="{00000000-0004-0000-0000-000071000000}"/>
    <hyperlink ref="M11" r:id="rId94" display="http://pubs.acs.org/doi/full/10.1021/ct8004326" xr:uid="{00000000-0004-0000-0000-000083000000}"/>
    <hyperlink ref="M453" r:id="rId95" display="http://journals.iucr.org/b/issues/2009/02/00/bk5081/index.html" xr:uid="{00000000-0004-0000-0000-000085000000}"/>
    <hyperlink ref="M293" r:id="rId96" display="http://pubs.acs.org/doi/abs/10.1021/jp211948q" xr:uid="{00000000-0004-0000-0000-00008C000000}"/>
    <hyperlink ref="M91" r:id="rId97" display="http://pubs.acs.org/doi/full/10.1021/cg201203u" xr:uid="{00000000-0004-0000-0000-000091000000}"/>
    <hyperlink ref="M145" r:id="rId98" display="https://pubs.acs.org/doi/abs/10.1021/acs.cgd.8b00765" xr:uid="{00000000-0004-0000-0000-000096000000}"/>
    <hyperlink ref="M504" r:id="rId99" display="https://pubs.acs.org/doi/abs/10.1021/acs.cgd.8b00765" xr:uid="{00000000-0004-0000-0000-000099000000}"/>
    <hyperlink ref="M200" r:id="rId100" display="https://pubs.acs.org/doi/abs/10.1021/acs.cgd.8b00765" xr:uid="{00000000-0004-0000-0000-00009C000000}"/>
    <hyperlink ref="M369" r:id="rId101" location="!divAbstract" display="http://pubs.rsc.org/en/Content/ArticleLanding/2016/CC/C6CC01710J - !divAbstract" xr:uid="{C031E13A-6E7C-494C-8C53-F1B2AC8D6242}"/>
    <hyperlink ref="M460" r:id="rId102" display="http://pubs.acs.org/doi/abs/10.1021/cg400109j" xr:uid="{00000000-0004-0000-0000-00002D000000}"/>
    <hyperlink ref="M427" r:id="rId103" display="http://www.sciencedirect.com/science/article/pii/S0378517311002997" xr:uid="{5117FA8C-C08B-423E-9AFD-D368A56AC33A}"/>
    <hyperlink ref="M18" r:id="rId104" display="http://journals.iucr.org/b/issues/2009/02/00/bk5081/index.html" xr:uid="{73098619-147F-4837-8299-6924347E2109}"/>
    <hyperlink ref="M452" r:id="rId105" display="http://journals.iucr.org/b/issues/2009/02/00/bk5081/index.html" xr:uid="{34708E8B-AB0F-4833-BEB4-DABDFA337B13}"/>
    <hyperlink ref="M448" r:id="rId106" display="http://journals.iucr.org/b/issues/2009/02/00/bk5081/index.html" xr:uid="{BEB9798D-2704-480D-A56C-0BFBA565370C}"/>
    <hyperlink ref="M449" r:id="rId107" display="http://journals.iucr.org/b/issues/2009/02/00/bk5081/index.html" xr:uid="{3AB46344-76D8-4C12-A0AB-DE78390FB7F5}"/>
    <hyperlink ref="M211" r:id="rId108" display="http://journals.iucr.org/b/issues/2011/06/00/bk5106/index.html" xr:uid="{7DB22CE8-2976-49B1-9C40-0127F5D227B2}"/>
    <hyperlink ref="M262" r:id="rId109" display="http://journals.iucr.org/b/issues/2011/06/00/bk5106/index.html" xr:uid="{6E30496B-B2D9-4426-9441-A119B942ECBF}"/>
    <hyperlink ref="M487" r:id="rId110" display="http://journals.iucr.org/b/issues/2011/06/00/bk5106/index.html" xr:uid="{76D6DC28-BB52-4573-BF7C-A35B70D4251B}"/>
    <hyperlink ref="M232" r:id="rId111" display="http://dx.doi.org/10.1107/S2052520616007447" xr:uid="{401719F2-D75D-494C-AC6E-3C32083C52C8}"/>
    <hyperlink ref="M430:M431" r:id="rId112" display="http://pubs.rsc.org/en/content/articlelanding/2011/cc/c1cc10762c" xr:uid="{ACD338BC-08A3-449E-8D35-90DD3A58E7D5}"/>
    <hyperlink ref="M418" r:id="rId113" display="http://pubs.rsc.org/en/content/articlelanding/2012/ce/c2ce06325e" xr:uid="{B5B3119C-30A4-4803-9E06-08B1AD694626}"/>
    <hyperlink ref="M216" r:id="rId114" display="http://pubs.rsc.org/en/content/articlelanding/2012/ce/c2ce06325e" xr:uid="{B69201B4-AB01-4EA5-AB89-86B3C0219176}"/>
    <hyperlink ref="M365" r:id="rId115" display="http://pubs.rsc.org/en/content/articlelanding/2012/ce/c2ce06325e" xr:uid="{662A3F5F-7379-49F6-A0DE-56681F328285}"/>
    <hyperlink ref="M337" r:id="rId116" display="http://pubs.acs.org/doi/full/10.1021/ct8004326" xr:uid="{BF21A564-3756-4E7D-A887-CA5A210B0570}"/>
    <hyperlink ref="M330" r:id="rId117" display="http://pubs.acs.org/doi/full/10.1021/ct8004326" xr:uid="{AB549616-AD43-4ADA-B57B-67B9BF7FE6E8}"/>
    <hyperlink ref="M101" r:id="rId118" display="http://pubs.acs.org/doi/full/10.1021/ct8004326" xr:uid="{791AEF60-E9CB-43B5-BD7E-E21A9FF80E14}"/>
    <hyperlink ref="M40" r:id="rId119" display="http://pubs.acs.org/doi/full/10.1021/ct8004326" xr:uid="{00000000-0004-0000-0000-000077000000}"/>
    <hyperlink ref="M42" r:id="rId120" display="http://pubs.rsc.org/en/content/articlelanding/2012/ce/c2ce06325e" xr:uid="{00000000-0004-0000-0000-000045000000}"/>
    <hyperlink ref="M41" r:id="rId121" display="http://pubs.rsc.org/en/content/articlelanding/2012/ce/c2ce06325e" xr:uid="{00000000-0004-0000-0000-000044000000}"/>
    <hyperlink ref="M17" r:id="rId122" display="http://pubs.acs.org/doi/full/10.1021/cg901230b" xr:uid="{00000000-0004-0000-0000-00005F000000}"/>
    <hyperlink ref="M422" r:id="rId123" display="http://pubs.acs.org/doi/full/10.1021/ct8004326" xr:uid="{00000000-0004-0000-0000-000080000000}"/>
    <hyperlink ref="M316" r:id="rId124" display="http://pubs.rsc.org/en/content/articlelanding/2011/cc/c1cc10762c" xr:uid="{7B66ADAB-2434-48DB-88C0-3EB9F249E620}"/>
    <hyperlink ref="M424:M425" r:id="rId125" display="http://pubs.rsc.org/en/content/articlelanding/2011/cc/c1cc10762c" xr:uid="{82BE017A-6561-400E-AD8C-DCEE67D6DD40}"/>
    <hyperlink ref="M427:M428" r:id="rId126" display="http://pubs.rsc.org/en/content/articlelanding/2011/cc/c1cc10762c" xr:uid="{BCE26543-641D-44ED-8F9C-CFDE4A5A6F55}"/>
    <hyperlink ref="M107" r:id="rId127" display="http://pubs.acs.org/doi/abs/10.1021/cg070131c" xr:uid="{CCE40F5C-5994-4789-AA38-84EA441F6B9C}"/>
    <hyperlink ref="M106" r:id="rId128" display="http://pubs.acs.org/doi/abs/10.1021/cg070131c" xr:uid="{65280981-8F98-403D-BB07-2E0E6E3D8846}"/>
    <hyperlink ref="M111" r:id="rId129" display="http://pubs.acs.org/doi/full/10.1021/cg9014306" xr:uid="{00000000-0004-0000-0000-00005C000000}"/>
    <hyperlink ref="M51" r:id="rId130" display="http://pubs.acs.org/doi/full/10.1021/cg9014306" xr:uid="{EB21D8EF-63DF-44FD-9730-C87D31EC262B}"/>
    <hyperlink ref="M50" r:id="rId131" display="http://pubs.acs.org/doi/full/10.1021/cg9014306" xr:uid="{DC256C73-9736-4702-BFDF-30E1ADAB42EC}"/>
    <hyperlink ref="M53" r:id="rId132" display="http://pubs.acs.org/doi/full/10.1021/cg9014306" xr:uid="{00000000-0004-0000-0000-00005A000000}"/>
    <hyperlink ref="M52" r:id="rId133" display="http://pubs.acs.org/doi/full/10.1021/cg9014306" xr:uid="{EA022060-C09E-4CE6-A911-3BE5D2952BFA}"/>
    <hyperlink ref="P50" r:id="rId134" display="http://pubs.acs.org/doi/full/10.1021/cg9014306" xr:uid="{82F6EE2C-9DE1-4A9F-BA4E-011BA032AA5F}"/>
    <hyperlink ref="P52" r:id="rId135" display="http://pubs.acs.org/doi/full/10.1021/cg9014306" xr:uid="{38B85543-8A79-4B77-8EB3-20453134FB07}"/>
    <hyperlink ref="M22" r:id="rId136" display="http://pubs.acs.org/doi/abs/10.1021/cg049661o" xr:uid="{00000000-0004-0000-0000-00000B000000}"/>
    <hyperlink ref="M219" r:id="rId137" display="http://pubs.acs.org/doi/abs/10.1021/cg050398g" xr:uid="{00000000-0004-0000-0000-000093000000}"/>
    <hyperlink ref="M499" r:id="rId138" display="http://pubs.acs.org/doi/abs/10.1021/cg100405s" xr:uid="{C97EB679-0F93-40B6-AE13-64FEA4DF295F}"/>
    <hyperlink ref="M227" r:id="rId139" display="http://pubs.acs.org/doi/abs/10.1021/cg100405s" xr:uid="{4CB99135-7104-488B-B23D-42402CFAB1D0}"/>
    <hyperlink ref="M491" r:id="rId140" display="http://pubs.acs.org/doi/abs/10.1021/ct700045r" xr:uid="{EF0D4CBB-40F1-4258-8A0E-844F8BBA68AF}"/>
  </hyperlinks>
  <pageMargins left="0.75" right="0.75" top="1" bottom="1" header="0.5" footer="0.5"/>
  <pageSetup orientation="portrait" r:id="rId1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1BF0-A188-43C5-82EB-F0D19D19CB60}">
  <sheetPr codeName="Sheet3"/>
  <dimension ref="A1:G212"/>
  <sheetViews>
    <sheetView topLeftCell="A180" workbookViewId="0">
      <selection activeCell="G212" sqref="G212"/>
    </sheetView>
  </sheetViews>
  <sheetFormatPr defaultRowHeight="12.75" x14ac:dyDescent="0.2"/>
  <cols>
    <col min="1" max="1" width="32.7109375" bestFit="1" customWidth="1"/>
  </cols>
  <sheetData>
    <row r="1" spans="1:7" x14ac:dyDescent="0.2">
      <c r="A1" t="s">
        <v>837</v>
      </c>
      <c r="B1" t="s">
        <v>870</v>
      </c>
      <c r="G1" t="s">
        <v>3339</v>
      </c>
    </row>
    <row r="2" spans="1:7" x14ac:dyDescent="0.2">
      <c r="A2" t="s">
        <v>1893</v>
      </c>
      <c r="B2">
        <v>2003</v>
      </c>
      <c r="G2" t="s">
        <v>3346</v>
      </c>
    </row>
    <row r="3" spans="1:7" x14ac:dyDescent="0.2">
      <c r="A3" t="s">
        <v>860</v>
      </c>
      <c r="B3">
        <v>2004</v>
      </c>
      <c r="G3" t="s">
        <v>3391</v>
      </c>
    </row>
    <row r="4" spans="1:7" x14ac:dyDescent="0.2">
      <c r="A4" t="s">
        <v>859</v>
      </c>
      <c r="B4">
        <v>2004</v>
      </c>
      <c r="G4" t="s">
        <v>3372</v>
      </c>
    </row>
    <row r="5" spans="1:7" x14ac:dyDescent="0.2">
      <c r="A5" t="s">
        <v>854</v>
      </c>
      <c r="B5">
        <v>2004</v>
      </c>
      <c r="G5" t="s">
        <v>3415</v>
      </c>
    </row>
    <row r="6" spans="1:7" x14ac:dyDescent="0.2">
      <c r="A6" t="s">
        <v>855</v>
      </c>
      <c r="B6">
        <v>2004</v>
      </c>
      <c r="G6" t="s">
        <v>3398</v>
      </c>
    </row>
    <row r="7" spans="1:7" x14ac:dyDescent="0.2">
      <c r="A7" t="s">
        <v>846</v>
      </c>
      <c r="B7">
        <v>2004</v>
      </c>
      <c r="G7" t="s">
        <v>3327</v>
      </c>
    </row>
    <row r="8" spans="1:7" x14ac:dyDescent="0.2">
      <c r="A8" t="s">
        <v>838</v>
      </c>
      <c r="B8">
        <v>2004</v>
      </c>
      <c r="G8" t="s">
        <v>3375</v>
      </c>
    </row>
    <row r="9" spans="1:7" x14ac:dyDescent="0.2">
      <c r="A9" t="s">
        <v>860</v>
      </c>
      <c r="B9">
        <v>2005</v>
      </c>
      <c r="G9" t="s">
        <v>3333</v>
      </c>
    </row>
    <row r="10" spans="1:7" x14ac:dyDescent="0.2">
      <c r="A10" t="s">
        <v>845</v>
      </c>
      <c r="B10">
        <v>2005</v>
      </c>
      <c r="G10" t="s">
        <v>3331</v>
      </c>
    </row>
    <row r="11" spans="1:7" x14ac:dyDescent="0.2">
      <c r="A11" t="s">
        <v>844</v>
      </c>
      <c r="B11">
        <v>2005</v>
      </c>
      <c r="G11" t="s">
        <v>3322</v>
      </c>
    </row>
    <row r="12" spans="1:7" x14ac:dyDescent="0.2">
      <c r="A12" t="s">
        <v>875</v>
      </c>
      <c r="B12">
        <v>2005</v>
      </c>
      <c r="G12" t="s">
        <v>364</v>
      </c>
    </row>
    <row r="13" spans="1:7" x14ac:dyDescent="0.2">
      <c r="A13" t="s">
        <v>1668</v>
      </c>
      <c r="B13">
        <v>2005</v>
      </c>
      <c r="G13" t="s">
        <v>356</v>
      </c>
    </row>
    <row r="14" spans="1:7" x14ac:dyDescent="0.2">
      <c r="A14" t="s">
        <v>897</v>
      </c>
      <c r="B14">
        <v>2005</v>
      </c>
      <c r="G14" t="s">
        <v>3364</v>
      </c>
    </row>
    <row r="15" spans="1:7" x14ac:dyDescent="0.2">
      <c r="A15" t="s">
        <v>838</v>
      </c>
      <c r="B15">
        <v>2005</v>
      </c>
      <c r="G15" t="s">
        <v>3363</v>
      </c>
    </row>
    <row r="16" spans="1:7" x14ac:dyDescent="0.2">
      <c r="A16" t="s">
        <v>845</v>
      </c>
      <c r="B16" t="s">
        <v>886</v>
      </c>
      <c r="G16" t="s">
        <v>3328</v>
      </c>
    </row>
    <row r="17" spans="1:7" x14ac:dyDescent="0.2">
      <c r="A17" t="s">
        <v>849</v>
      </c>
      <c r="B17" t="s">
        <v>886</v>
      </c>
      <c r="G17" t="s">
        <v>3336</v>
      </c>
    </row>
    <row r="18" spans="1:7" x14ac:dyDescent="0.2">
      <c r="A18" t="s">
        <v>884</v>
      </c>
      <c r="B18" t="s">
        <v>886</v>
      </c>
      <c r="G18" t="s">
        <v>3344</v>
      </c>
    </row>
    <row r="19" spans="1:7" x14ac:dyDescent="0.2">
      <c r="A19" t="s">
        <v>885</v>
      </c>
      <c r="B19" t="s">
        <v>886</v>
      </c>
      <c r="G19" t="s">
        <v>3369</v>
      </c>
    </row>
    <row r="20" spans="1:7" x14ac:dyDescent="0.2">
      <c r="A20" t="s">
        <v>846</v>
      </c>
      <c r="B20" t="s">
        <v>886</v>
      </c>
      <c r="G20" t="s">
        <v>357</v>
      </c>
    </row>
    <row r="21" spans="1:7" x14ac:dyDescent="0.2">
      <c r="A21" t="s">
        <v>838</v>
      </c>
      <c r="B21" t="s">
        <v>886</v>
      </c>
      <c r="G21" t="s">
        <v>3403</v>
      </c>
    </row>
    <row r="22" spans="1:7" x14ac:dyDescent="0.2">
      <c r="A22" t="s">
        <v>846</v>
      </c>
      <c r="B22" t="s">
        <v>1567</v>
      </c>
      <c r="G22" t="s">
        <v>3360</v>
      </c>
    </row>
    <row r="23" spans="1:7" x14ac:dyDescent="0.2">
      <c r="A23" t="s">
        <v>845</v>
      </c>
      <c r="B23">
        <v>2006</v>
      </c>
      <c r="G23" t="s">
        <v>3396</v>
      </c>
    </row>
    <row r="24" spans="1:7" x14ac:dyDescent="0.2">
      <c r="A24" t="s">
        <v>845</v>
      </c>
      <c r="B24">
        <v>2007</v>
      </c>
      <c r="G24" t="s">
        <v>3395</v>
      </c>
    </row>
    <row r="25" spans="1:7" x14ac:dyDescent="0.2">
      <c r="A25" t="s">
        <v>860</v>
      </c>
      <c r="B25">
        <v>2008</v>
      </c>
      <c r="G25" t="s">
        <v>3332</v>
      </c>
    </row>
    <row r="26" spans="1:7" x14ac:dyDescent="0.2">
      <c r="A26" t="s">
        <v>2296</v>
      </c>
      <c r="B26">
        <v>2008</v>
      </c>
      <c r="G26" t="s">
        <v>3408</v>
      </c>
    </row>
    <row r="27" spans="1:7" x14ac:dyDescent="0.2">
      <c r="A27" t="s">
        <v>892</v>
      </c>
      <c r="B27">
        <v>2008</v>
      </c>
      <c r="G27" t="s">
        <v>3400</v>
      </c>
    </row>
    <row r="28" spans="1:7" x14ac:dyDescent="0.2">
      <c r="A28" t="s">
        <v>950</v>
      </c>
      <c r="B28">
        <v>2008</v>
      </c>
      <c r="G28" t="s">
        <v>3409</v>
      </c>
    </row>
    <row r="29" spans="1:7" x14ac:dyDescent="0.2">
      <c r="A29" t="s">
        <v>1668</v>
      </c>
      <c r="B29">
        <v>2008</v>
      </c>
      <c r="G29" t="s">
        <v>358</v>
      </c>
    </row>
    <row r="30" spans="1:7" x14ac:dyDescent="0.2">
      <c r="A30" t="s">
        <v>897</v>
      </c>
      <c r="B30">
        <v>2008</v>
      </c>
      <c r="G30" t="s">
        <v>3404</v>
      </c>
    </row>
    <row r="31" spans="1:7" x14ac:dyDescent="0.2">
      <c r="A31" t="s">
        <v>853</v>
      </c>
      <c r="B31">
        <v>2008</v>
      </c>
      <c r="G31" t="s">
        <v>3371</v>
      </c>
    </row>
    <row r="32" spans="1:7" x14ac:dyDescent="0.2">
      <c r="A32" t="s">
        <v>913</v>
      </c>
      <c r="B32">
        <v>2009</v>
      </c>
      <c r="G32" t="s">
        <v>3370</v>
      </c>
    </row>
    <row r="33" spans="1:7" x14ac:dyDescent="0.2">
      <c r="A33" t="s">
        <v>851</v>
      </c>
      <c r="B33">
        <v>2009</v>
      </c>
      <c r="G33" t="s">
        <v>3386</v>
      </c>
    </row>
    <row r="34" spans="1:7" x14ac:dyDescent="0.2">
      <c r="A34" t="s">
        <v>852</v>
      </c>
      <c r="B34">
        <v>2009</v>
      </c>
      <c r="G34" t="s">
        <v>3365</v>
      </c>
    </row>
    <row r="35" spans="1:7" x14ac:dyDescent="0.2">
      <c r="A35" t="s">
        <v>1668</v>
      </c>
      <c r="B35">
        <v>2009</v>
      </c>
      <c r="G35" t="s">
        <v>3334</v>
      </c>
    </row>
    <row r="36" spans="1:7" x14ac:dyDescent="0.2">
      <c r="A36" t="s">
        <v>850</v>
      </c>
      <c r="B36" t="s">
        <v>1596</v>
      </c>
      <c r="G36" t="s">
        <v>3324</v>
      </c>
    </row>
    <row r="37" spans="1:7" x14ac:dyDescent="0.2">
      <c r="A37" t="s">
        <v>893</v>
      </c>
      <c r="B37">
        <v>2010</v>
      </c>
      <c r="G37" t="s">
        <v>3338</v>
      </c>
    </row>
    <row r="38" spans="1:7" x14ac:dyDescent="0.2">
      <c r="A38" t="s">
        <v>895</v>
      </c>
      <c r="B38">
        <v>2010</v>
      </c>
      <c r="G38" t="s">
        <v>3323</v>
      </c>
    </row>
    <row r="39" spans="1:7" x14ac:dyDescent="0.2">
      <c r="A39" t="s">
        <v>898</v>
      </c>
      <c r="B39">
        <v>2010</v>
      </c>
      <c r="G39" t="s">
        <v>3348</v>
      </c>
    </row>
    <row r="40" spans="1:7" x14ac:dyDescent="0.2">
      <c r="A40" t="s">
        <v>839</v>
      </c>
      <c r="B40">
        <v>2010</v>
      </c>
      <c r="G40" t="s">
        <v>3378</v>
      </c>
    </row>
    <row r="41" spans="1:7" x14ac:dyDescent="0.2">
      <c r="A41" t="s">
        <v>872</v>
      </c>
      <c r="B41">
        <v>2010</v>
      </c>
      <c r="G41" t="s">
        <v>3351</v>
      </c>
    </row>
    <row r="42" spans="1:7" x14ac:dyDescent="0.2">
      <c r="A42" t="s">
        <v>851</v>
      </c>
      <c r="B42">
        <v>2010</v>
      </c>
      <c r="G42" t="s">
        <v>3373</v>
      </c>
    </row>
    <row r="43" spans="1:7" x14ac:dyDescent="0.2">
      <c r="A43" t="s">
        <v>897</v>
      </c>
      <c r="B43">
        <v>2010</v>
      </c>
      <c r="G43" t="s">
        <v>3335</v>
      </c>
    </row>
    <row r="44" spans="1:7" x14ac:dyDescent="0.2">
      <c r="A44" t="s">
        <v>853</v>
      </c>
      <c r="B44">
        <v>2010</v>
      </c>
      <c r="G44" t="s">
        <v>3330</v>
      </c>
    </row>
    <row r="45" spans="1:7" x14ac:dyDescent="0.2">
      <c r="A45" t="s">
        <v>843</v>
      </c>
      <c r="B45" t="s">
        <v>1876</v>
      </c>
      <c r="G45" t="s">
        <v>3352</v>
      </c>
    </row>
    <row r="46" spans="1:7" x14ac:dyDescent="0.2">
      <c r="A46" t="s">
        <v>845</v>
      </c>
      <c r="B46" t="s">
        <v>1876</v>
      </c>
      <c r="G46" t="s">
        <v>3337</v>
      </c>
    </row>
    <row r="47" spans="1:7" x14ac:dyDescent="0.2">
      <c r="A47" t="s">
        <v>913</v>
      </c>
      <c r="B47" t="s">
        <v>1876</v>
      </c>
      <c r="G47" t="s">
        <v>11</v>
      </c>
    </row>
    <row r="48" spans="1:7" x14ac:dyDescent="0.2">
      <c r="A48" t="s">
        <v>844</v>
      </c>
      <c r="B48" t="s">
        <v>1876</v>
      </c>
      <c r="G48" t="s">
        <v>18</v>
      </c>
    </row>
    <row r="49" spans="1:7" x14ac:dyDescent="0.2">
      <c r="A49" t="s">
        <v>839</v>
      </c>
      <c r="B49" t="s">
        <v>1876</v>
      </c>
      <c r="G49" t="s">
        <v>27</v>
      </c>
    </row>
    <row r="50" spans="1:7" x14ac:dyDescent="0.2">
      <c r="A50" t="s">
        <v>884</v>
      </c>
      <c r="B50" t="s">
        <v>1876</v>
      </c>
      <c r="G50" t="s">
        <v>3399</v>
      </c>
    </row>
    <row r="51" spans="1:7" x14ac:dyDescent="0.2">
      <c r="A51" t="s">
        <v>852</v>
      </c>
      <c r="B51" t="s">
        <v>1876</v>
      </c>
      <c r="G51" t="s">
        <v>3383</v>
      </c>
    </row>
    <row r="52" spans="1:7" x14ac:dyDescent="0.2">
      <c r="A52" t="s">
        <v>1668</v>
      </c>
      <c r="B52" t="s">
        <v>1876</v>
      </c>
      <c r="G52" t="s">
        <v>37</v>
      </c>
    </row>
    <row r="53" spans="1:7" x14ac:dyDescent="0.2">
      <c r="A53" t="s">
        <v>897</v>
      </c>
      <c r="B53" t="s">
        <v>1876</v>
      </c>
      <c r="G53" t="s">
        <v>360</v>
      </c>
    </row>
    <row r="54" spans="1:7" x14ac:dyDescent="0.2">
      <c r="A54" t="s">
        <v>846</v>
      </c>
      <c r="B54" t="s">
        <v>1876</v>
      </c>
      <c r="G54" t="s">
        <v>41</v>
      </c>
    </row>
    <row r="55" spans="1:7" x14ac:dyDescent="0.2">
      <c r="A55" t="s">
        <v>853</v>
      </c>
      <c r="B55" t="s">
        <v>1876</v>
      </c>
      <c r="G55" t="s">
        <v>14</v>
      </c>
    </row>
    <row r="56" spans="1:7" x14ac:dyDescent="0.2">
      <c r="A56" t="s">
        <v>898</v>
      </c>
      <c r="B56">
        <v>2011</v>
      </c>
      <c r="G56" t="s">
        <v>3325</v>
      </c>
    </row>
    <row r="57" spans="1:7" x14ac:dyDescent="0.2">
      <c r="A57" t="s">
        <v>851</v>
      </c>
      <c r="B57">
        <v>2011</v>
      </c>
      <c r="G57" t="s">
        <v>783</v>
      </c>
    </row>
    <row r="58" spans="1:7" x14ac:dyDescent="0.2">
      <c r="A58" t="s">
        <v>864</v>
      </c>
      <c r="B58">
        <v>2011</v>
      </c>
      <c r="G58" t="s">
        <v>3197</v>
      </c>
    </row>
    <row r="59" spans="1:7" x14ac:dyDescent="0.2">
      <c r="A59" t="s">
        <v>853</v>
      </c>
      <c r="B59">
        <v>2011</v>
      </c>
      <c r="G59" t="s">
        <v>108</v>
      </c>
    </row>
    <row r="60" spans="1:7" x14ac:dyDescent="0.2">
      <c r="A60" t="s">
        <v>898</v>
      </c>
      <c r="B60">
        <v>2012</v>
      </c>
      <c r="G60" t="s">
        <v>3290</v>
      </c>
    </row>
    <row r="61" spans="1:7" x14ac:dyDescent="0.2">
      <c r="A61" t="s">
        <v>839</v>
      </c>
      <c r="B61">
        <v>2012</v>
      </c>
      <c r="G61" t="s">
        <v>3129</v>
      </c>
    </row>
    <row r="62" spans="1:7" x14ac:dyDescent="0.2">
      <c r="A62" t="s">
        <v>851</v>
      </c>
      <c r="B62">
        <v>2012</v>
      </c>
      <c r="G62" t="s">
        <v>3405</v>
      </c>
    </row>
    <row r="63" spans="1:7" x14ac:dyDescent="0.2">
      <c r="A63" t="s">
        <v>852</v>
      </c>
      <c r="B63">
        <v>2012</v>
      </c>
      <c r="G63" t="s">
        <v>3300</v>
      </c>
    </row>
    <row r="64" spans="1:7" x14ac:dyDescent="0.2">
      <c r="A64" t="s">
        <v>864</v>
      </c>
      <c r="B64">
        <v>2012</v>
      </c>
      <c r="G64" t="s">
        <v>3359</v>
      </c>
    </row>
    <row r="65" spans="1:7" x14ac:dyDescent="0.2">
      <c r="A65" t="s">
        <v>898</v>
      </c>
      <c r="B65">
        <v>2013</v>
      </c>
      <c r="G65" t="s">
        <v>3321</v>
      </c>
    </row>
    <row r="66" spans="1:7" x14ac:dyDescent="0.2">
      <c r="A66" t="s">
        <v>861</v>
      </c>
      <c r="B66">
        <v>2013</v>
      </c>
      <c r="G66" t="s">
        <v>3367</v>
      </c>
    </row>
    <row r="67" spans="1:7" x14ac:dyDescent="0.2">
      <c r="A67" t="s">
        <v>839</v>
      </c>
      <c r="B67">
        <v>2013</v>
      </c>
      <c r="G67" t="s">
        <v>3377</v>
      </c>
    </row>
    <row r="68" spans="1:7" x14ac:dyDescent="0.2">
      <c r="A68" t="s">
        <v>851</v>
      </c>
      <c r="B68">
        <v>2013</v>
      </c>
      <c r="G68" t="s">
        <v>3384</v>
      </c>
    </row>
    <row r="69" spans="1:7" x14ac:dyDescent="0.2">
      <c r="A69" t="s">
        <v>862</v>
      </c>
      <c r="B69">
        <v>2013</v>
      </c>
      <c r="G69" t="s">
        <v>3376</v>
      </c>
    </row>
    <row r="70" spans="1:7" x14ac:dyDescent="0.2">
      <c r="A70" t="s">
        <v>841</v>
      </c>
      <c r="B70">
        <v>2013</v>
      </c>
      <c r="G70" t="s">
        <v>3356</v>
      </c>
    </row>
    <row r="71" spans="1:7" x14ac:dyDescent="0.2">
      <c r="A71" t="s">
        <v>840</v>
      </c>
      <c r="B71">
        <v>2014</v>
      </c>
      <c r="G71" t="s">
        <v>3355</v>
      </c>
    </row>
    <row r="72" spans="1:7" x14ac:dyDescent="0.2">
      <c r="A72" t="s">
        <v>839</v>
      </c>
      <c r="B72">
        <v>2015</v>
      </c>
      <c r="G72" t="s">
        <v>3353</v>
      </c>
    </row>
    <row r="73" spans="1:7" x14ac:dyDescent="0.2">
      <c r="A73" t="s">
        <v>842</v>
      </c>
      <c r="B73">
        <v>2015</v>
      </c>
      <c r="G73" t="s">
        <v>3354</v>
      </c>
    </row>
    <row r="74" spans="1:7" x14ac:dyDescent="0.2">
      <c r="A74" t="s">
        <v>869</v>
      </c>
      <c r="B74">
        <v>2015</v>
      </c>
      <c r="G74" t="s">
        <v>3349</v>
      </c>
    </row>
    <row r="75" spans="1:7" x14ac:dyDescent="0.2">
      <c r="A75" t="s">
        <v>840</v>
      </c>
      <c r="B75">
        <v>2015</v>
      </c>
      <c r="G75" t="s">
        <v>3382</v>
      </c>
    </row>
    <row r="76" spans="1:7" x14ac:dyDescent="0.2">
      <c r="A76" t="s">
        <v>862</v>
      </c>
      <c r="B76">
        <v>2015</v>
      </c>
      <c r="G76" t="s">
        <v>3340</v>
      </c>
    </row>
    <row r="77" spans="1:7" x14ac:dyDescent="0.2">
      <c r="A77" t="s">
        <v>847</v>
      </c>
      <c r="B77">
        <v>2015</v>
      </c>
      <c r="G77" t="s">
        <v>3380</v>
      </c>
    </row>
    <row r="78" spans="1:7" x14ac:dyDescent="0.2">
      <c r="A78" t="s">
        <v>839</v>
      </c>
      <c r="B78" t="s">
        <v>873</v>
      </c>
      <c r="G78" t="s">
        <v>3381</v>
      </c>
    </row>
    <row r="79" spans="1:7" x14ac:dyDescent="0.2">
      <c r="A79" t="s">
        <v>868</v>
      </c>
      <c r="B79" s="5">
        <v>2016</v>
      </c>
      <c r="G79" t="s">
        <v>3357</v>
      </c>
    </row>
    <row r="80" spans="1:7" x14ac:dyDescent="0.2">
      <c r="A80" t="s">
        <v>842</v>
      </c>
      <c r="B80">
        <v>2016</v>
      </c>
      <c r="G80" t="s">
        <v>3390</v>
      </c>
    </row>
    <row r="81" spans="1:7" x14ac:dyDescent="0.2">
      <c r="A81" t="s">
        <v>847</v>
      </c>
      <c r="B81">
        <v>2016</v>
      </c>
      <c r="G81" t="s">
        <v>3345</v>
      </c>
    </row>
    <row r="82" spans="1:7" x14ac:dyDescent="0.2">
      <c r="A82" t="s">
        <v>2488</v>
      </c>
      <c r="B82">
        <v>2016</v>
      </c>
      <c r="G82" t="s">
        <v>3379</v>
      </c>
    </row>
    <row r="83" spans="1:7" x14ac:dyDescent="0.2">
      <c r="A83" t="s">
        <v>866</v>
      </c>
      <c r="B83">
        <v>2017</v>
      </c>
      <c r="G83" t="s">
        <v>426</v>
      </c>
    </row>
    <row r="84" spans="1:7" x14ac:dyDescent="0.2">
      <c r="A84" t="s">
        <v>839</v>
      </c>
      <c r="B84">
        <v>2017</v>
      </c>
      <c r="G84" t="s">
        <v>1011</v>
      </c>
    </row>
    <row r="85" spans="1:7" x14ac:dyDescent="0.2">
      <c r="A85" t="s">
        <v>848</v>
      </c>
      <c r="B85">
        <v>2018</v>
      </c>
      <c r="G85" t="s">
        <v>133</v>
      </c>
    </row>
    <row r="86" spans="1:7" x14ac:dyDescent="0.2">
      <c r="A86" t="s">
        <v>863</v>
      </c>
      <c r="B86">
        <v>2018</v>
      </c>
      <c r="G86" t="s">
        <v>3209</v>
      </c>
    </row>
    <row r="87" spans="1:7" x14ac:dyDescent="0.2">
      <c r="A87" t="s">
        <v>839</v>
      </c>
      <c r="B87">
        <v>2018</v>
      </c>
      <c r="G87" t="s">
        <v>112</v>
      </c>
    </row>
    <row r="88" spans="1:7" x14ac:dyDescent="0.2">
      <c r="A88" t="s">
        <v>842</v>
      </c>
      <c r="B88">
        <v>2018</v>
      </c>
      <c r="G88" t="s">
        <v>3416</v>
      </c>
    </row>
    <row r="89" spans="1:7" x14ac:dyDescent="0.2">
      <c r="A89" t="s">
        <v>1470</v>
      </c>
      <c r="B89">
        <v>2018</v>
      </c>
      <c r="G89" t="s">
        <v>3262</v>
      </c>
    </row>
    <row r="90" spans="1:7" x14ac:dyDescent="0.2">
      <c r="A90" t="s">
        <v>928</v>
      </c>
      <c r="B90">
        <v>2019</v>
      </c>
      <c r="G90" t="s">
        <v>3213</v>
      </c>
    </row>
    <row r="91" spans="1:7" x14ac:dyDescent="0.2">
      <c r="A91" t="s">
        <v>839</v>
      </c>
      <c r="B91">
        <v>2019</v>
      </c>
      <c r="G91" t="s">
        <v>3299</v>
      </c>
    </row>
    <row r="92" spans="1:7" x14ac:dyDescent="0.2">
      <c r="A92" t="s">
        <v>868</v>
      </c>
      <c r="B92">
        <v>2020</v>
      </c>
      <c r="G92" t="s">
        <v>55</v>
      </c>
    </row>
    <row r="93" spans="1:7" x14ac:dyDescent="0.2">
      <c r="A93" t="s">
        <v>839</v>
      </c>
      <c r="B93">
        <v>2021</v>
      </c>
      <c r="G93" t="s">
        <v>530</v>
      </c>
    </row>
    <row r="94" spans="1:7" x14ac:dyDescent="0.2">
      <c r="A94" t="s">
        <v>847</v>
      </c>
      <c r="B94">
        <v>2021</v>
      </c>
      <c r="G94" t="s">
        <v>405</v>
      </c>
    </row>
    <row r="95" spans="1:7" x14ac:dyDescent="0.2">
      <c r="A95" t="s">
        <v>1042</v>
      </c>
      <c r="B95">
        <v>2021</v>
      </c>
      <c r="G95" t="s">
        <v>185</v>
      </c>
    </row>
    <row r="96" spans="1:7" x14ac:dyDescent="0.2">
      <c r="A96" t="s">
        <v>897</v>
      </c>
      <c r="B96">
        <v>2021</v>
      </c>
      <c r="G96" t="s">
        <v>189</v>
      </c>
    </row>
    <row r="97" spans="1:7" x14ac:dyDescent="0.2">
      <c r="A97" t="s">
        <v>997</v>
      </c>
      <c r="B97">
        <v>2021</v>
      </c>
      <c r="G97" t="s">
        <v>3217</v>
      </c>
    </row>
    <row r="98" spans="1:7" x14ac:dyDescent="0.2">
      <c r="A98" t="s">
        <v>839</v>
      </c>
      <c r="B98">
        <v>2022</v>
      </c>
      <c r="G98" t="s">
        <v>823</v>
      </c>
    </row>
    <row r="99" spans="1:7" x14ac:dyDescent="0.2">
      <c r="A99" t="s">
        <v>1534</v>
      </c>
      <c r="B99">
        <v>2023</v>
      </c>
      <c r="G99" t="s">
        <v>591</v>
      </c>
    </row>
    <row r="100" spans="1:7" x14ac:dyDescent="0.2">
      <c r="A100" t="s">
        <v>1023</v>
      </c>
      <c r="B100">
        <v>2023</v>
      </c>
      <c r="G100" t="s">
        <v>564</v>
      </c>
    </row>
    <row r="101" spans="1:7" x14ac:dyDescent="0.2">
      <c r="A101" t="s">
        <v>1941</v>
      </c>
      <c r="B101">
        <v>2025</v>
      </c>
      <c r="G101" t="s">
        <v>194</v>
      </c>
    </row>
    <row r="102" spans="1:7" x14ac:dyDescent="0.2">
      <c r="G102" t="s">
        <v>3208</v>
      </c>
    </row>
    <row r="103" spans="1:7" x14ac:dyDescent="0.2">
      <c r="G103" t="s">
        <v>3219</v>
      </c>
    </row>
    <row r="104" spans="1:7" x14ac:dyDescent="0.2">
      <c r="G104" t="s">
        <v>942</v>
      </c>
    </row>
    <row r="105" spans="1:7" x14ac:dyDescent="0.2">
      <c r="G105" t="s">
        <v>3211</v>
      </c>
    </row>
    <row r="106" spans="1:7" x14ac:dyDescent="0.2">
      <c r="G106" t="s">
        <v>3280</v>
      </c>
    </row>
    <row r="107" spans="1:7" x14ac:dyDescent="0.2">
      <c r="G107" t="s">
        <v>3309</v>
      </c>
    </row>
    <row r="108" spans="1:7" x14ac:dyDescent="0.2">
      <c r="G108" t="s">
        <v>285</v>
      </c>
    </row>
    <row r="109" spans="1:7" x14ac:dyDescent="0.2">
      <c r="G109" t="s">
        <v>3218</v>
      </c>
    </row>
    <row r="110" spans="1:7" x14ac:dyDescent="0.2">
      <c r="G110" t="s">
        <v>560</v>
      </c>
    </row>
    <row r="111" spans="1:7" x14ac:dyDescent="0.2">
      <c r="G111" t="s">
        <v>3130</v>
      </c>
    </row>
    <row r="112" spans="1:7" x14ac:dyDescent="0.2">
      <c r="G112" t="s">
        <v>3374</v>
      </c>
    </row>
    <row r="113" spans="7:7" x14ac:dyDescent="0.2">
      <c r="G113" t="s">
        <v>3308</v>
      </c>
    </row>
    <row r="114" spans="7:7" x14ac:dyDescent="0.2">
      <c r="G114" t="s">
        <v>3385</v>
      </c>
    </row>
    <row r="115" spans="7:7" x14ac:dyDescent="0.2">
      <c r="G115" t="s">
        <v>1530</v>
      </c>
    </row>
    <row r="116" spans="7:7" x14ac:dyDescent="0.2">
      <c r="G116" t="s">
        <v>2886</v>
      </c>
    </row>
    <row r="117" spans="7:7" x14ac:dyDescent="0.2">
      <c r="G117" t="s">
        <v>3411</v>
      </c>
    </row>
    <row r="118" spans="7:7" x14ac:dyDescent="0.2">
      <c r="G118" t="s">
        <v>282</v>
      </c>
    </row>
    <row r="119" spans="7:7" x14ac:dyDescent="0.2">
      <c r="G119" t="s">
        <v>527</v>
      </c>
    </row>
    <row r="120" spans="7:7" x14ac:dyDescent="0.2">
      <c r="G120" t="s">
        <v>3304</v>
      </c>
    </row>
    <row r="121" spans="7:7" x14ac:dyDescent="0.2">
      <c r="G121" t="s">
        <v>3362</v>
      </c>
    </row>
    <row r="122" spans="7:7" x14ac:dyDescent="0.2">
      <c r="G122" t="s">
        <v>3342</v>
      </c>
    </row>
    <row r="123" spans="7:7" x14ac:dyDescent="0.2">
      <c r="G123" t="s">
        <v>269</v>
      </c>
    </row>
    <row r="124" spans="7:7" x14ac:dyDescent="0.2">
      <c r="G124" t="s">
        <v>3343</v>
      </c>
    </row>
    <row r="125" spans="7:7" x14ac:dyDescent="0.2">
      <c r="G125" t="s">
        <v>3366</v>
      </c>
    </row>
    <row r="126" spans="7:7" x14ac:dyDescent="0.2">
      <c r="G126" t="s">
        <v>3407</v>
      </c>
    </row>
    <row r="127" spans="7:7" x14ac:dyDescent="0.2">
      <c r="G127" t="s">
        <v>3305</v>
      </c>
    </row>
    <row r="128" spans="7:7" x14ac:dyDescent="0.2">
      <c r="G128" t="s">
        <v>3220</v>
      </c>
    </row>
    <row r="129" spans="7:7" x14ac:dyDescent="0.2">
      <c r="G129" t="s">
        <v>3199</v>
      </c>
    </row>
    <row r="130" spans="7:7" x14ac:dyDescent="0.2">
      <c r="G130" t="s">
        <v>3261</v>
      </c>
    </row>
    <row r="131" spans="7:7" x14ac:dyDescent="0.2">
      <c r="G131" t="s">
        <v>3201</v>
      </c>
    </row>
    <row r="132" spans="7:7" x14ac:dyDescent="0.2">
      <c r="G132" t="s">
        <v>293</v>
      </c>
    </row>
    <row r="133" spans="7:7" x14ac:dyDescent="0.2">
      <c r="G133" t="s">
        <v>304</v>
      </c>
    </row>
    <row r="134" spans="7:7" x14ac:dyDescent="0.2">
      <c r="G134" t="s">
        <v>59</v>
      </c>
    </row>
    <row r="135" spans="7:7" x14ac:dyDescent="0.2">
      <c r="G135" t="s">
        <v>3258</v>
      </c>
    </row>
    <row r="136" spans="7:7" x14ac:dyDescent="0.2">
      <c r="G136" t="s">
        <v>323</v>
      </c>
    </row>
    <row r="137" spans="7:7" x14ac:dyDescent="0.2">
      <c r="G137" t="s">
        <v>338</v>
      </c>
    </row>
    <row r="138" spans="7:7" x14ac:dyDescent="0.2">
      <c r="G138" t="s">
        <v>301</v>
      </c>
    </row>
    <row r="139" spans="7:7" x14ac:dyDescent="0.2">
      <c r="G139" t="s">
        <v>341</v>
      </c>
    </row>
    <row r="140" spans="7:7" x14ac:dyDescent="0.2">
      <c r="G140" t="s">
        <v>3361</v>
      </c>
    </row>
    <row r="141" spans="7:7" x14ac:dyDescent="0.2">
      <c r="G141" t="s">
        <v>3264</v>
      </c>
    </row>
    <row r="142" spans="7:7" x14ac:dyDescent="0.2">
      <c r="G142" t="s">
        <v>3263</v>
      </c>
    </row>
    <row r="143" spans="7:7" x14ac:dyDescent="0.2">
      <c r="G143" t="s">
        <v>245</v>
      </c>
    </row>
    <row r="144" spans="7:7" x14ac:dyDescent="0.2">
      <c r="G144" t="s">
        <v>3402</v>
      </c>
    </row>
    <row r="145" spans="7:7" x14ac:dyDescent="0.2">
      <c r="G145" t="s">
        <v>3200</v>
      </c>
    </row>
    <row r="146" spans="7:7" x14ac:dyDescent="0.2">
      <c r="G146" t="s">
        <v>241</v>
      </c>
    </row>
    <row r="147" spans="7:7" x14ac:dyDescent="0.2">
      <c r="G147" t="s">
        <v>410</v>
      </c>
    </row>
    <row r="148" spans="7:7" x14ac:dyDescent="0.2">
      <c r="G148" t="s">
        <v>3257</v>
      </c>
    </row>
    <row r="149" spans="7:7" x14ac:dyDescent="0.2">
      <c r="G149" t="s">
        <v>3341</v>
      </c>
    </row>
    <row r="150" spans="7:7" x14ac:dyDescent="0.2">
      <c r="G150" t="s">
        <v>3401</v>
      </c>
    </row>
    <row r="151" spans="7:7" x14ac:dyDescent="0.2">
      <c r="G151" t="s">
        <v>227</v>
      </c>
    </row>
    <row r="152" spans="7:7" x14ac:dyDescent="0.2">
      <c r="G152" t="s">
        <v>3414</v>
      </c>
    </row>
    <row r="153" spans="7:7" x14ac:dyDescent="0.2">
      <c r="G153" t="s">
        <v>3388</v>
      </c>
    </row>
    <row r="154" spans="7:7" x14ac:dyDescent="0.2">
      <c r="G154" t="s">
        <v>3410</v>
      </c>
    </row>
    <row r="155" spans="7:7" x14ac:dyDescent="0.2">
      <c r="G155" t="s">
        <v>1944</v>
      </c>
    </row>
    <row r="156" spans="7:7" x14ac:dyDescent="0.2">
      <c r="G156" t="s">
        <v>393</v>
      </c>
    </row>
    <row r="157" spans="7:7" x14ac:dyDescent="0.2">
      <c r="G157" t="s">
        <v>3310</v>
      </c>
    </row>
    <row r="158" spans="7:7" x14ac:dyDescent="0.2">
      <c r="G158" t="s">
        <v>3222</v>
      </c>
    </row>
    <row r="159" spans="7:7" x14ac:dyDescent="0.2">
      <c r="G159" t="s">
        <v>3394</v>
      </c>
    </row>
    <row r="160" spans="7:7" x14ac:dyDescent="0.2">
      <c r="G160" t="s">
        <v>3326</v>
      </c>
    </row>
    <row r="161" spans="7:7" x14ac:dyDescent="0.2">
      <c r="G161" t="s">
        <v>402</v>
      </c>
    </row>
    <row r="162" spans="7:7" x14ac:dyDescent="0.2">
      <c r="G162" t="s">
        <v>191</v>
      </c>
    </row>
    <row r="163" spans="7:7" x14ac:dyDescent="0.2">
      <c r="G163" t="s">
        <v>3350</v>
      </c>
    </row>
    <row r="164" spans="7:7" x14ac:dyDescent="0.2">
      <c r="G164" t="s">
        <v>378</v>
      </c>
    </row>
    <row r="165" spans="7:7" x14ac:dyDescent="0.2">
      <c r="G165" t="s">
        <v>3287</v>
      </c>
    </row>
    <row r="166" spans="7:7" x14ac:dyDescent="0.2">
      <c r="G166" t="s">
        <v>721</v>
      </c>
    </row>
    <row r="167" spans="7:7" x14ac:dyDescent="0.2">
      <c r="G167" t="s">
        <v>3273</v>
      </c>
    </row>
    <row r="168" spans="7:7" x14ac:dyDescent="0.2">
      <c r="G168" t="s">
        <v>3358</v>
      </c>
    </row>
    <row r="169" spans="7:7" x14ac:dyDescent="0.2">
      <c r="G169" t="s">
        <v>2901</v>
      </c>
    </row>
    <row r="170" spans="7:7" x14ac:dyDescent="0.2">
      <c r="G170" t="s">
        <v>3329</v>
      </c>
    </row>
    <row r="171" spans="7:7" x14ac:dyDescent="0.2">
      <c r="G171" t="s">
        <v>3393</v>
      </c>
    </row>
    <row r="172" spans="7:7" x14ac:dyDescent="0.2">
      <c r="G172" t="s">
        <v>3275</v>
      </c>
    </row>
    <row r="173" spans="7:7" x14ac:dyDescent="0.2">
      <c r="G173" t="s">
        <v>317</v>
      </c>
    </row>
    <row r="174" spans="7:7" x14ac:dyDescent="0.2">
      <c r="G174" t="s">
        <v>480</v>
      </c>
    </row>
    <row r="175" spans="7:7" x14ac:dyDescent="0.2">
      <c r="G175" t="s">
        <v>601</v>
      </c>
    </row>
    <row r="176" spans="7:7" x14ac:dyDescent="0.2">
      <c r="G176" t="s">
        <v>1735</v>
      </c>
    </row>
    <row r="177" spans="7:7" x14ac:dyDescent="0.2">
      <c r="G177" t="s">
        <v>487</v>
      </c>
    </row>
    <row r="178" spans="7:7" x14ac:dyDescent="0.2">
      <c r="G178" t="s">
        <v>3397</v>
      </c>
    </row>
    <row r="179" spans="7:7" x14ac:dyDescent="0.2">
      <c r="G179" t="s">
        <v>79</v>
      </c>
    </row>
    <row r="180" spans="7:7" x14ac:dyDescent="0.2">
      <c r="G180" t="s">
        <v>502</v>
      </c>
    </row>
    <row r="181" spans="7:7" x14ac:dyDescent="0.2">
      <c r="G181" t="s">
        <v>3392</v>
      </c>
    </row>
    <row r="182" spans="7:7" x14ac:dyDescent="0.2">
      <c r="G182" t="s">
        <v>508</v>
      </c>
    </row>
    <row r="183" spans="7:7" x14ac:dyDescent="0.2">
      <c r="G183" t="s">
        <v>505</v>
      </c>
    </row>
    <row r="184" spans="7:7" x14ac:dyDescent="0.2">
      <c r="G184" t="s">
        <v>3278</v>
      </c>
    </row>
    <row r="185" spans="7:7" x14ac:dyDescent="0.2">
      <c r="G185" t="s">
        <v>3406</v>
      </c>
    </row>
    <row r="186" spans="7:7" x14ac:dyDescent="0.2">
      <c r="G186" t="s">
        <v>3075</v>
      </c>
    </row>
    <row r="187" spans="7:7" x14ac:dyDescent="0.2">
      <c r="G187" t="s">
        <v>3413</v>
      </c>
    </row>
    <row r="188" spans="7:7" x14ac:dyDescent="0.2">
      <c r="G188" t="s">
        <v>757</v>
      </c>
    </row>
    <row r="189" spans="7:7" x14ac:dyDescent="0.2">
      <c r="G189" t="s">
        <v>277</v>
      </c>
    </row>
    <row r="190" spans="7:7" x14ac:dyDescent="0.2">
      <c r="G190" t="s">
        <v>3131</v>
      </c>
    </row>
    <row r="191" spans="7:7" x14ac:dyDescent="0.2">
      <c r="G191" t="s">
        <v>1020</v>
      </c>
    </row>
    <row r="192" spans="7:7" x14ac:dyDescent="0.2">
      <c r="G192" t="s">
        <v>1082</v>
      </c>
    </row>
    <row r="193" spans="7:7" x14ac:dyDescent="0.2">
      <c r="G193" t="s">
        <v>3412</v>
      </c>
    </row>
    <row r="194" spans="7:7" x14ac:dyDescent="0.2">
      <c r="G194" t="s">
        <v>747</v>
      </c>
    </row>
    <row r="195" spans="7:7" x14ac:dyDescent="0.2">
      <c r="G195" t="s">
        <v>579</v>
      </c>
    </row>
    <row r="196" spans="7:7" x14ac:dyDescent="0.2">
      <c r="G196" t="s">
        <v>3297</v>
      </c>
    </row>
    <row r="197" spans="7:7" x14ac:dyDescent="0.2">
      <c r="G197" t="s">
        <v>1016</v>
      </c>
    </row>
    <row r="198" spans="7:7" x14ac:dyDescent="0.2">
      <c r="G198" t="s">
        <v>3306</v>
      </c>
    </row>
    <row r="199" spans="7:7" x14ac:dyDescent="0.2">
      <c r="G199" t="s">
        <v>3307</v>
      </c>
    </row>
    <row r="200" spans="7:7" x14ac:dyDescent="0.2">
      <c r="G200" t="s">
        <v>3279</v>
      </c>
    </row>
    <row r="201" spans="7:7" x14ac:dyDescent="0.2">
      <c r="G201" t="s">
        <v>607</v>
      </c>
    </row>
    <row r="202" spans="7:7" x14ac:dyDescent="0.2">
      <c r="G202" t="s">
        <v>3347</v>
      </c>
    </row>
    <row r="203" spans="7:7" x14ac:dyDescent="0.2">
      <c r="G203" t="s">
        <v>3368</v>
      </c>
    </row>
    <row r="204" spans="7:7" x14ac:dyDescent="0.2">
      <c r="G204" t="s">
        <v>713</v>
      </c>
    </row>
    <row r="205" spans="7:7" x14ac:dyDescent="0.2">
      <c r="G205" t="s">
        <v>617</v>
      </c>
    </row>
    <row r="206" spans="7:7" x14ac:dyDescent="0.2">
      <c r="G206" t="s">
        <v>3210</v>
      </c>
    </row>
    <row r="207" spans="7:7" x14ac:dyDescent="0.2">
      <c r="G207" t="s">
        <v>726</v>
      </c>
    </row>
    <row r="208" spans="7:7" x14ac:dyDescent="0.2">
      <c r="G208" t="s">
        <v>375</v>
      </c>
    </row>
    <row r="209" spans="7:7" x14ac:dyDescent="0.2">
      <c r="G209" t="s">
        <v>730</v>
      </c>
    </row>
    <row r="210" spans="7:7" x14ac:dyDescent="0.2">
      <c r="G210" t="s">
        <v>3311</v>
      </c>
    </row>
    <row r="211" spans="7:7" x14ac:dyDescent="0.2">
      <c r="G211" t="s">
        <v>3387</v>
      </c>
    </row>
    <row r="212" spans="7:7" x14ac:dyDescent="0.2">
      <c r="G212" t="s">
        <v>3389</v>
      </c>
    </row>
  </sheetData>
  <sortState xmlns:xlrd2="http://schemas.microsoft.com/office/spreadsheetml/2017/richdata2" ref="G1:G504">
    <sortCondition ref="G1:G504"/>
  </sortState>
  <conditionalFormatting sqref="A10:B101">
    <cfRule type="containsBlanks" dxfId="76" priority="20">
      <formula>LEN(TRIM(A10))=0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0179-A590-4D64-80E6-0746E4635A06}">
  <sheetPr codeName="Sheet2"/>
  <dimension ref="A1:I225"/>
  <sheetViews>
    <sheetView topLeftCell="A54" workbookViewId="0">
      <selection activeCell="B80" sqref="B80"/>
    </sheetView>
  </sheetViews>
  <sheetFormatPr defaultRowHeight="12.75" x14ac:dyDescent="0.2"/>
  <cols>
    <col min="2" max="2" width="10.140625" bestFit="1" customWidth="1"/>
    <col min="3" max="3" width="16" bestFit="1" customWidth="1"/>
    <col min="4" max="4" width="11.85546875" bestFit="1" customWidth="1"/>
  </cols>
  <sheetData>
    <row r="1" spans="1:9" x14ac:dyDescent="0.2">
      <c r="A1" s="4" t="s">
        <v>1627</v>
      </c>
      <c r="B1" s="4" t="s">
        <v>870</v>
      </c>
      <c r="C1" s="4" t="s">
        <v>1623</v>
      </c>
      <c r="D1" s="4" t="s">
        <v>1624</v>
      </c>
      <c r="E1" s="4" t="s">
        <v>1625</v>
      </c>
      <c r="F1" s="4" t="s">
        <v>1626</v>
      </c>
      <c r="G1" s="4" t="s">
        <v>1628</v>
      </c>
      <c r="H1">
        <f>COUNTA(Database!X$2:X$549)</f>
        <v>524</v>
      </c>
      <c r="I1">
        <f>H1/533</f>
        <v>0.98311444652908064</v>
      </c>
    </row>
    <row r="2" spans="1:9" x14ac:dyDescent="0.2">
      <c r="A2">
        <v>1</v>
      </c>
      <c r="B2" s="9" t="s">
        <v>1677</v>
      </c>
      <c r="C2">
        <f>COUNTIF(Database!W:W,CONCATENATE("wc ",B2))</f>
        <v>12</v>
      </c>
      <c r="D2">
        <f>C2</f>
        <v>12</v>
      </c>
      <c r="E2">
        <f>D2/533*100</f>
        <v>2.2514071294559099</v>
      </c>
      <c r="F2">
        <f>ROUNDUP(533/53*A2,0)</f>
        <v>11</v>
      </c>
      <c r="G2" t="str">
        <f>IF(D2&gt;=F2,"Yay!","Oh No!")</f>
        <v>Yay!</v>
      </c>
    </row>
    <row r="3" spans="1:9" x14ac:dyDescent="0.2">
      <c r="A3">
        <v>2</v>
      </c>
      <c r="B3" s="9" t="s">
        <v>1678</v>
      </c>
      <c r="C3">
        <f>COUNTIF(Database!W:W,CONCATENATE("wc ",B3))</f>
        <v>11</v>
      </c>
      <c r="D3">
        <f>D2+C3</f>
        <v>23</v>
      </c>
      <c r="E3">
        <f>D3/533*100</f>
        <v>4.3151969981238274</v>
      </c>
      <c r="F3">
        <f t="shared" ref="F3:F53" si="0">ROUNDUP(533/53*A3,0)</f>
        <v>21</v>
      </c>
      <c r="G3" t="str">
        <f t="shared" ref="G3:G54" si="1">IF(D3&gt;=F3,"Yay!","Oh No!")</f>
        <v>Yay!</v>
      </c>
    </row>
    <row r="4" spans="1:9" x14ac:dyDescent="0.2">
      <c r="A4">
        <v>3</v>
      </c>
      <c r="B4" s="9" t="s">
        <v>1679</v>
      </c>
      <c r="C4">
        <f>COUNTIF(Database!W:W,CONCATENATE("wc ",B4))</f>
        <v>28</v>
      </c>
      <c r="D4">
        <f t="shared" ref="D4:D29" si="2">D3+C4</f>
        <v>51</v>
      </c>
      <c r="E4">
        <f t="shared" ref="E4:E54" si="3">D4/533*100</f>
        <v>9.568480300187618</v>
      </c>
      <c r="F4">
        <f t="shared" si="0"/>
        <v>31</v>
      </c>
      <c r="G4" t="str">
        <f t="shared" si="1"/>
        <v>Yay!</v>
      </c>
    </row>
    <row r="5" spans="1:9" x14ac:dyDescent="0.2">
      <c r="A5">
        <v>4</v>
      </c>
      <c r="B5" s="9" t="s">
        <v>1680</v>
      </c>
      <c r="C5">
        <f>COUNTIF(Database!W:W,CONCATENATE("wc ",B5))</f>
        <v>5</v>
      </c>
      <c r="D5">
        <f t="shared" si="2"/>
        <v>56</v>
      </c>
      <c r="E5">
        <f t="shared" si="3"/>
        <v>10.506566604127581</v>
      </c>
      <c r="F5">
        <f t="shared" si="0"/>
        <v>41</v>
      </c>
      <c r="G5" t="str">
        <f t="shared" si="1"/>
        <v>Yay!</v>
      </c>
    </row>
    <row r="6" spans="1:9" x14ac:dyDescent="0.2">
      <c r="A6">
        <v>5</v>
      </c>
      <c r="B6" s="9" t="s">
        <v>1681</v>
      </c>
      <c r="C6">
        <f>COUNTIF(Database!W:W,CONCATENATE("wc ",B6))</f>
        <v>13</v>
      </c>
      <c r="D6">
        <f t="shared" si="2"/>
        <v>69</v>
      </c>
      <c r="E6">
        <f t="shared" si="3"/>
        <v>12.94559099437148</v>
      </c>
      <c r="F6">
        <f t="shared" si="0"/>
        <v>51</v>
      </c>
      <c r="G6" t="str">
        <f t="shared" si="1"/>
        <v>Yay!</v>
      </c>
    </row>
    <row r="7" spans="1:9" x14ac:dyDescent="0.2">
      <c r="A7">
        <v>6</v>
      </c>
      <c r="B7" s="9" t="s">
        <v>1682</v>
      </c>
      <c r="C7">
        <f>COUNTIF(Database!W:W,CONCATENATE("wc ",B7))</f>
        <v>5</v>
      </c>
      <c r="D7">
        <f t="shared" si="2"/>
        <v>74</v>
      </c>
      <c r="E7">
        <f t="shared" si="3"/>
        <v>13.883677298311445</v>
      </c>
      <c r="F7">
        <f t="shared" si="0"/>
        <v>61</v>
      </c>
      <c r="G7" t="str">
        <f t="shared" si="1"/>
        <v>Yay!</v>
      </c>
    </row>
    <row r="8" spans="1:9" x14ac:dyDescent="0.2">
      <c r="A8">
        <v>7</v>
      </c>
      <c r="B8" s="9" t="s">
        <v>1683</v>
      </c>
      <c r="C8">
        <f>COUNTIF(Database!W:W,CONCATENATE("wc ",B8))</f>
        <v>17</v>
      </c>
      <c r="D8">
        <f t="shared" si="2"/>
        <v>91</v>
      </c>
      <c r="E8">
        <f t="shared" si="3"/>
        <v>17.073170731707318</v>
      </c>
      <c r="F8">
        <f t="shared" si="0"/>
        <v>71</v>
      </c>
      <c r="G8" t="str">
        <f t="shared" si="1"/>
        <v>Yay!</v>
      </c>
    </row>
    <row r="9" spans="1:9" x14ac:dyDescent="0.2">
      <c r="A9">
        <v>8</v>
      </c>
      <c r="B9" s="9" t="s">
        <v>1684</v>
      </c>
      <c r="C9">
        <f>COUNTIF(Database!W:W,CONCATENATE("wc ",B9))</f>
        <v>0</v>
      </c>
      <c r="D9">
        <f t="shared" si="2"/>
        <v>91</v>
      </c>
      <c r="E9">
        <f t="shared" si="3"/>
        <v>17.073170731707318</v>
      </c>
      <c r="F9">
        <f t="shared" si="0"/>
        <v>81</v>
      </c>
      <c r="G9" t="str">
        <f t="shared" si="1"/>
        <v>Yay!</v>
      </c>
    </row>
    <row r="10" spans="1:9" x14ac:dyDescent="0.2">
      <c r="A10">
        <v>9</v>
      </c>
      <c r="B10" s="9" t="s">
        <v>1685</v>
      </c>
      <c r="C10">
        <f>COUNTIF(Database!W:W,CONCATENATE("wc ",B10))</f>
        <v>0</v>
      </c>
      <c r="D10">
        <f t="shared" si="2"/>
        <v>91</v>
      </c>
      <c r="E10">
        <f t="shared" si="3"/>
        <v>17.073170731707318</v>
      </c>
      <c r="F10">
        <f t="shared" si="0"/>
        <v>91</v>
      </c>
      <c r="G10" t="str">
        <f t="shared" si="1"/>
        <v>Yay!</v>
      </c>
    </row>
    <row r="11" spans="1:9" x14ac:dyDescent="0.2">
      <c r="A11">
        <v>10</v>
      </c>
      <c r="B11" s="9" t="s">
        <v>1686</v>
      </c>
      <c r="C11">
        <f>COUNTIF(Database!W:W,CONCATENATE("wc ",B11))</f>
        <v>9</v>
      </c>
      <c r="D11">
        <f t="shared" si="2"/>
        <v>100</v>
      </c>
      <c r="E11">
        <f t="shared" si="3"/>
        <v>18.761726078799249</v>
      </c>
      <c r="F11">
        <f t="shared" si="0"/>
        <v>101</v>
      </c>
      <c r="G11" t="str">
        <f t="shared" si="1"/>
        <v>Oh No!</v>
      </c>
    </row>
    <row r="12" spans="1:9" x14ac:dyDescent="0.2">
      <c r="A12">
        <v>11</v>
      </c>
      <c r="B12" s="9" t="s">
        <v>1687</v>
      </c>
      <c r="C12">
        <f>COUNTIF(Database!W:W,CONCATENATE("wc ",B12))</f>
        <v>3</v>
      </c>
      <c r="D12">
        <f>D11+C12</f>
        <v>103</v>
      </c>
      <c r="E12">
        <f t="shared" si="3"/>
        <v>19.324577861163228</v>
      </c>
      <c r="F12">
        <f t="shared" si="0"/>
        <v>111</v>
      </c>
      <c r="G12" t="str">
        <f t="shared" si="1"/>
        <v>Oh No!</v>
      </c>
    </row>
    <row r="13" spans="1:9" x14ac:dyDescent="0.2">
      <c r="A13">
        <v>12</v>
      </c>
      <c r="B13" s="9" t="s">
        <v>1688</v>
      </c>
      <c r="C13">
        <f>COUNTIF(Database!W:W,CONCATENATE("wc ",B13))</f>
        <v>3</v>
      </c>
      <c r="D13">
        <f t="shared" si="2"/>
        <v>106</v>
      </c>
      <c r="E13">
        <f t="shared" si="3"/>
        <v>19.887429643527206</v>
      </c>
      <c r="F13">
        <f t="shared" si="0"/>
        <v>121</v>
      </c>
      <c r="G13" t="str">
        <f t="shared" si="1"/>
        <v>Oh No!</v>
      </c>
    </row>
    <row r="14" spans="1:9" x14ac:dyDescent="0.2">
      <c r="A14">
        <v>13</v>
      </c>
      <c r="B14" s="9" t="s">
        <v>1689</v>
      </c>
      <c r="C14">
        <f>COUNTIF(Database!W:W,CONCATENATE("wc ",B14))</f>
        <v>0</v>
      </c>
      <c r="D14">
        <f t="shared" si="2"/>
        <v>106</v>
      </c>
      <c r="E14">
        <f t="shared" si="3"/>
        <v>19.887429643527206</v>
      </c>
      <c r="F14">
        <f t="shared" si="0"/>
        <v>131</v>
      </c>
      <c r="G14" t="str">
        <f t="shared" si="1"/>
        <v>Oh No!</v>
      </c>
    </row>
    <row r="15" spans="1:9" x14ac:dyDescent="0.2">
      <c r="A15">
        <v>14</v>
      </c>
      <c r="B15" s="9" t="s">
        <v>1690</v>
      </c>
      <c r="C15">
        <f>COUNTIF(Database!W:W,CONCATENATE("wc ",B15))</f>
        <v>0</v>
      </c>
      <c r="D15">
        <f t="shared" si="2"/>
        <v>106</v>
      </c>
      <c r="E15">
        <f t="shared" si="3"/>
        <v>19.887429643527206</v>
      </c>
      <c r="F15">
        <f t="shared" si="0"/>
        <v>141</v>
      </c>
      <c r="G15" t="str">
        <f t="shared" si="1"/>
        <v>Oh No!</v>
      </c>
    </row>
    <row r="16" spans="1:9" x14ac:dyDescent="0.2">
      <c r="A16">
        <v>15</v>
      </c>
      <c r="B16" s="9" t="s">
        <v>1691</v>
      </c>
      <c r="C16">
        <f>COUNTIF(Database!W:W,CONCATENATE("wc ",B16))</f>
        <v>0</v>
      </c>
      <c r="D16">
        <f t="shared" si="2"/>
        <v>106</v>
      </c>
      <c r="E16">
        <f t="shared" si="3"/>
        <v>19.887429643527206</v>
      </c>
      <c r="F16">
        <f t="shared" si="0"/>
        <v>151</v>
      </c>
      <c r="G16" t="str">
        <f t="shared" si="1"/>
        <v>Oh No!</v>
      </c>
    </row>
    <row r="17" spans="1:7" x14ac:dyDescent="0.2">
      <c r="A17">
        <v>16</v>
      </c>
      <c r="B17" s="9" t="s">
        <v>1692</v>
      </c>
      <c r="C17">
        <f>COUNTIF(Database!W:W,CONCATENATE("wc ",B17))</f>
        <v>8</v>
      </c>
      <c r="D17">
        <f t="shared" si="2"/>
        <v>114</v>
      </c>
      <c r="E17">
        <f t="shared" si="3"/>
        <v>21.388367729831145</v>
      </c>
      <c r="F17">
        <f t="shared" si="0"/>
        <v>161</v>
      </c>
      <c r="G17" t="str">
        <f t="shared" si="1"/>
        <v>Oh No!</v>
      </c>
    </row>
    <row r="18" spans="1:7" x14ac:dyDescent="0.2">
      <c r="A18">
        <v>17</v>
      </c>
      <c r="B18" s="9" t="s">
        <v>1693</v>
      </c>
      <c r="C18">
        <f>COUNTIF(Database!W:W,CONCATENATE("wc ",B18))</f>
        <v>0</v>
      </c>
      <c r="D18">
        <f t="shared" si="2"/>
        <v>114</v>
      </c>
      <c r="E18">
        <f t="shared" si="3"/>
        <v>21.388367729831145</v>
      </c>
      <c r="F18">
        <f t="shared" si="0"/>
        <v>171</v>
      </c>
      <c r="G18" t="str">
        <f t="shared" si="1"/>
        <v>Oh No!</v>
      </c>
    </row>
    <row r="19" spans="1:7" x14ac:dyDescent="0.2">
      <c r="A19">
        <v>18</v>
      </c>
      <c r="B19" s="9" t="s">
        <v>1694</v>
      </c>
      <c r="C19">
        <f>COUNTIF(Database!W:W,CONCATENATE("wc ",B19))</f>
        <v>11</v>
      </c>
      <c r="D19">
        <f t="shared" si="2"/>
        <v>125</v>
      </c>
      <c r="E19">
        <f t="shared" si="3"/>
        <v>23.452157598499063</v>
      </c>
      <c r="F19">
        <f t="shared" si="0"/>
        <v>182</v>
      </c>
      <c r="G19" t="str">
        <f t="shared" si="1"/>
        <v>Oh No!</v>
      </c>
    </row>
    <row r="20" spans="1:7" x14ac:dyDescent="0.2">
      <c r="A20">
        <v>19</v>
      </c>
      <c r="B20" s="9" t="s">
        <v>1695</v>
      </c>
      <c r="C20">
        <f>COUNTIF(Database!W:W,CONCATENATE("wc ",B20))</f>
        <v>8</v>
      </c>
      <c r="D20">
        <f t="shared" si="2"/>
        <v>133</v>
      </c>
      <c r="E20">
        <f t="shared" si="3"/>
        <v>24.953095684802999</v>
      </c>
      <c r="F20">
        <f t="shared" si="0"/>
        <v>192</v>
      </c>
      <c r="G20" t="str">
        <f t="shared" si="1"/>
        <v>Oh No!</v>
      </c>
    </row>
    <row r="21" spans="1:7" x14ac:dyDescent="0.2">
      <c r="A21">
        <v>20</v>
      </c>
      <c r="B21" s="9" t="s">
        <v>1696</v>
      </c>
      <c r="C21">
        <f>COUNTIF(Database!W:W,CONCATENATE("wc ",B21))</f>
        <v>1</v>
      </c>
      <c r="D21">
        <f t="shared" si="2"/>
        <v>134</v>
      </c>
      <c r="E21">
        <f t="shared" si="3"/>
        <v>25.140712945590991</v>
      </c>
      <c r="F21">
        <f t="shared" si="0"/>
        <v>202</v>
      </c>
      <c r="G21" t="str">
        <f t="shared" si="1"/>
        <v>Oh No!</v>
      </c>
    </row>
    <row r="22" spans="1:7" x14ac:dyDescent="0.2">
      <c r="A22">
        <v>21</v>
      </c>
      <c r="B22" s="9" t="s">
        <v>1697</v>
      </c>
      <c r="C22">
        <f>COUNTIF(Database!W:W,CONCATENATE("wc ",B22))</f>
        <v>4</v>
      </c>
      <c r="D22">
        <f t="shared" si="2"/>
        <v>138</v>
      </c>
      <c r="E22">
        <f t="shared" si="3"/>
        <v>25.891181988742961</v>
      </c>
      <c r="F22">
        <f t="shared" si="0"/>
        <v>212</v>
      </c>
      <c r="G22" t="str">
        <f t="shared" si="1"/>
        <v>Oh No!</v>
      </c>
    </row>
    <row r="23" spans="1:7" x14ac:dyDescent="0.2">
      <c r="A23">
        <v>22</v>
      </c>
      <c r="B23" s="9" t="s">
        <v>1698</v>
      </c>
      <c r="C23">
        <f>COUNTIF(Database!W:W,CONCATENATE("wc ",B23))</f>
        <v>0</v>
      </c>
      <c r="D23">
        <f t="shared" si="2"/>
        <v>138</v>
      </c>
      <c r="E23">
        <f t="shared" si="3"/>
        <v>25.891181988742961</v>
      </c>
      <c r="F23">
        <f t="shared" si="0"/>
        <v>222</v>
      </c>
      <c r="G23" t="str">
        <f t="shared" si="1"/>
        <v>Oh No!</v>
      </c>
    </row>
    <row r="24" spans="1:7" x14ac:dyDescent="0.2">
      <c r="A24">
        <v>23</v>
      </c>
      <c r="B24" s="9" t="s">
        <v>1699</v>
      </c>
      <c r="C24">
        <f>COUNTIF(Database!W:W,CONCATENATE("wc ",B24))</f>
        <v>0</v>
      </c>
      <c r="D24">
        <f t="shared" si="2"/>
        <v>138</v>
      </c>
      <c r="E24">
        <f t="shared" si="3"/>
        <v>25.891181988742961</v>
      </c>
      <c r="F24">
        <f t="shared" si="0"/>
        <v>232</v>
      </c>
      <c r="G24" t="str">
        <f t="shared" si="1"/>
        <v>Oh No!</v>
      </c>
    </row>
    <row r="25" spans="1:7" x14ac:dyDescent="0.2">
      <c r="A25">
        <v>24</v>
      </c>
      <c r="B25" s="9" t="s">
        <v>1700</v>
      </c>
      <c r="C25">
        <f>COUNTIF(Database!W:W,CONCATENATE("wc ",B25))</f>
        <v>0</v>
      </c>
      <c r="D25">
        <f t="shared" si="2"/>
        <v>138</v>
      </c>
      <c r="E25">
        <f t="shared" si="3"/>
        <v>25.891181988742961</v>
      </c>
      <c r="F25">
        <f t="shared" si="0"/>
        <v>242</v>
      </c>
      <c r="G25" t="str">
        <f t="shared" si="1"/>
        <v>Oh No!</v>
      </c>
    </row>
    <row r="26" spans="1:7" x14ac:dyDescent="0.2">
      <c r="A26">
        <v>25</v>
      </c>
      <c r="B26" s="9" t="s">
        <v>1701</v>
      </c>
      <c r="C26">
        <f>COUNTIF(Database!W:W,CONCATENATE("wc ",B26))</f>
        <v>0</v>
      </c>
      <c r="D26">
        <f t="shared" si="2"/>
        <v>138</v>
      </c>
      <c r="E26">
        <f t="shared" si="3"/>
        <v>25.891181988742961</v>
      </c>
      <c r="F26">
        <f t="shared" si="0"/>
        <v>252</v>
      </c>
      <c r="G26" t="str">
        <f t="shared" si="1"/>
        <v>Oh No!</v>
      </c>
    </row>
    <row r="27" spans="1:7" x14ac:dyDescent="0.2">
      <c r="A27">
        <v>26</v>
      </c>
      <c r="B27" s="9" t="s">
        <v>1702</v>
      </c>
      <c r="C27">
        <f>COUNTIF(Database!W:W,CONCATENATE("wc ",B27))</f>
        <v>0</v>
      </c>
      <c r="D27">
        <f t="shared" si="2"/>
        <v>138</v>
      </c>
      <c r="E27">
        <f t="shared" si="3"/>
        <v>25.891181988742961</v>
      </c>
      <c r="F27">
        <f t="shared" si="0"/>
        <v>262</v>
      </c>
      <c r="G27" t="str">
        <f t="shared" si="1"/>
        <v>Oh No!</v>
      </c>
    </row>
    <row r="28" spans="1:7" x14ac:dyDescent="0.2">
      <c r="A28">
        <v>27</v>
      </c>
      <c r="B28" s="9" t="s">
        <v>1703</v>
      </c>
      <c r="C28">
        <f>COUNTIF(Database!W:W,CONCATENATE("wc ",B28))</f>
        <v>0</v>
      </c>
      <c r="D28">
        <f t="shared" si="2"/>
        <v>138</v>
      </c>
      <c r="E28">
        <f t="shared" si="3"/>
        <v>25.891181988742961</v>
      </c>
      <c r="F28">
        <f t="shared" si="0"/>
        <v>272</v>
      </c>
      <c r="G28" t="str">
        <f t="shared" si="1"/>
        <v>Oh No!</v>
      </c>
    </row>
    <row r="29" spans="1:7" x14ac:dyDescent="0.2">
      <c r="A29">
        <v>28</v>
      </c>
      <c r="B29" s="9" t="s">
        <v>1704</v>
      </c>
      <c r="C29">
        <f>COUNTIF(Database!W:W,CONCATENATE("wc ",B29))</f>
        <v>0</v>
      </c>
      <c r="D29">
        <f t="shared" si="2"/>
        <v>138</v>
      </c>
      <c r="E29">
        <f t="shared" si="3"/>
        <v>25.891181988742961</v>
      </c>
      <c r="F29">
        <f t="shared" si="0"/>
        <v>282</v>
      </c>
      <c r="G29" t="str">
        <f t="shared" si="1"/>
        <v>Oh No!</v>
      </c>
    </row>
    <row r="30" spans="1:7" x14ac:dyDescent="0.2">
      <c r="A30">
        <v>29</v>
      </c>
      <c r="B30" s="9" t="s">
        <v>1705</v>
      </c>
      <c r="C30">
        <f>COUNTIF(Database!W:W,CONCATENATE("wc ",B30))</f>
        <v>0</v>
      </c>
      <c r="D30">
        <f>D29+C30</f>
        <v>138</v>
      </c>
      <c r="E30">
        <f>D30/533*100</f>
        <v>25.891181988742961</v>
      </c>
      <c r="F30">
        <f t="shared" si="0"/>
        <v>292</v>
      </c>
      <c r="G30" t="str">
        <f t="shared" si="1"/>
        <v>Oh No!</v>
      </c>
    </row>
    <row r="31" spans="1:7" x14ac:dyDescent="0.2">
      <c r="A31">
        <v>30</v>
      </c>
      <c r="B31" s="9" t="s">
        <v>1706</v>
      </c>
      <c r="C31">
        <f>COUNTIF(Database!W:W,CONCATENATE("wc ",B31))</f>
        <v>0</v>
      </c>
      <c r="D31">
        <f t="shared" ref="D31:D54" si="4">D30+C31</f>
        <v>138</v>
      </c>
      <c r="E31">
        <f t="shared" si="3"/>
        <v>25.891181988742961</v>
      </c>
      <c r="F31">
        <f t="shared" si="0"/>
        <v>302</v>
      </c>
      <c r="G31" t="str">
        <f t="shared" si="1"/>
        <v>Oh No!</v>
      </c>
    </row>
    <row r="32" spans="1:7" x14ac:dyDescent="0.2">
      <c r="A32">
        <v>31</v>
      </c>
      <c r="B32" s="9" t="s">
        <v>1707</v>
      </c>
      <c r="C32">
        <f>COUNTIF(Database!W:W,CONCATENATE("wc ",B32))</f>
        <v>0</v>
      </c>
      <c r="D32">
        <f t="shared" si="4"/>
        <v>138</v>
      </c>
      <c r="E32">
        <f t="shared" si="3"/>
        <v>25.891181988742961</v>
      </c>
      <c r="F32">
        <f t="shared" si="0"/>
        <v>312</v>
      </c>
      <c r="G32" t="str">
        <f t="shared" si="1"/>
        <v>Oh No!</v>
      </c>
    </row>
    <row r="33" spans="1:7" x14ac:dyDescent="0.2">
      <c r="A33">
        <v>32</v>
      </c>
      <c r="B33" s="9" t="s">
        <v>1708</v>
      </c>
      <c r="C33">
        <f>COUNTIF(Database!W:W,CONCATENATE("wc ",B33))</f>
        <v>0</v>
      </c>
      <c r="D33">
        <f t="shared" si="4"/>
        <v>138</v>
      </c>
      <c r="E33">
        <f t="shared" si="3"/>
        <v>25.891181988742961</v>
      </c>
      <c r="F33">
        <f t="shared" si="0"/>
        <v>322</v>
      </c>
      <c r="G33" t="str">
        <f t="shared" si="1"/>
        <v>Oh No!</v>
      </c>
    </row>
    <row r="34" spans="1:7" x14ac:dyDescent="0.2">
      <c r="A34">
        <v>33</v>
      </c>
      <c r="B34" s="9" t="s">
        <v>1709</v>
      </c>
      <c r="C34">
        <f>COUNTIF(Database!W:W,CONCATENATE("wc ",B34))</f>
        <v>0</v>
      </c>
      <c r="D34">
        <f t="shared" si="4"/>
        <v>138</v>
      </c>
      <c r="E34">
        <f t="shared" si="3"/>
        <v>25.891181988742961</v>
      </c>
      <c r="F34">
        <f t="shared" si="0"/>
        <v>332</v>
      </c>
      <c r="G34" t="str">
        <f t="shared" si="1"/>
        <v>Oh No!</v>
      </c>
    </row>
    <row r="35" spans="1:7" x14ac:dyDescent="0.2">
      <c r="A35">
        <v>34</v>
      </c>
      <c r="B35" s="9" t="s">
        <v>1710</v>
      </c>
      <c r="C35">
        <f>COUNTIF(Database!W:W,CONCATENATE("wc ",B35))</f>
        <v>0</v>
      </c>
      <c r="D35">
        <f t="shared" si="4"/>
        <v>138</v>
      </c>
      <c r="E35">
        <f t="shared" si="3"/>
        <v>25.891181988742961</v>
      </c>
      <c r="F35">
        <f t="shared" si="0"/>
        <v>342</v>
      </c>
      <c r="G35" t="str">
        <f t="shared" si="1"/>
        <v>Oh No!</v>
      </c>
    </row>
    <row r="36" spans="1:7" x14ac:dyDescent="0.2">
      <c r="A36">
        <v>35</v>
      </c>
      <c r="B36" s="9" t="s">
        <v>1711</v>
      </c>
      <c r="C36">
        <f>COUNTIF(Database!W:W,CONCATENATE("wc ",B36))</f>
        <v>0</v>
      </c>
      <c r="D36">
        <f t="shared" si="4"/>
        <v>138</v>
      </c>
      <c r="E36">
        <f t="shared" si="3"/>
        <v>25.891181988742961</v>
      </c>
      <c r="F36">
        <f t="shared" si="0"/>
        <v>352</v>
      </c>
      <c r="G36" t="str">
        <f t="shared" si="1"/>
        <v>Oh No!</v>
      </c>
    </row>
    <row r="37" spans="1:7" x14ac:dyDescent="0.2">
      <c r="A37">
        <v>36</v>
      </c>
      <c r="B37" s="9" t="s">
        <v>1712</v>
      </c>
      <c r="C37">
        <f>COUNTIF(Database!W:W,CONCATENATE("wc ",B37))</f>
        <v>0</v>
      </c>
      <c r="D37">
        <f t="shared" si="4"/>
        <v>138</v>
      </c>
      <c r="E37">
        <f t="shared" si="3"/>
        <v>25.891181988742961</v>
      </c>
      <c r="F37">
        <f t="shared" si="0"/>
        <v>363</v>
      </c>
      <c r="G37" t="str">
        <f t="shared" si="1"/>
        <v>Oh No!</v>
      </c>
    </row>
    <row r="38" spans="1:7" x14ac:dyDescent="0.2">
      <c r="A38">
        <v>37</v>
      </c>
      <c r="B38" s="9" t="s">
        <v>1713</v>
      </c>
      <c r="C38">
        <f>COUNTIF(Database!W:W,CONCATENATE("wc ",B38))</f>
        <v>0</v>
      </c>
      <c r="D38">
        <f t="shared" si="4"/>
        <v>138</v>
      </c>
      <c r="E38">
        <f t="shared" si="3"/>
        <v>25.891181988742961</v>
      </c>
      <c r="F38">
        <f t="shared" si="0"/>
        <v>373</v>
      </c>
      <c r="G38" t="str">
        <f t="shared" si="1"/>
        <v>Oh No!</v>
      </c>
    </row>
    <row r="39" spans="1:7" x14ac:dyDescent="0.2">
      <c r="A39">
        <v>38</v>
      </c>
      <c r="B39" s="9" t="s">
        <v>1714</v>
      </c>
      <c r="C39">
        <f>COUNTIF(Database!W:W,CONCATENATE("wc ",B39))</f>
        <v>0</v>
      </c>
      <c r="D39">
        <f t="shared" si="4"/>
        <v>138</v>
      </c>
      <c r="E39">
        <f t="shared" si="3"/>
        <v>25.891181988742961</v>
      </c>
      <c r="F39">
        <f t="shared" si="0"/>
        <v>383</v>
      </c>
      <c r="G39" t="str">
        <f t="shared" si="1"/>
        <v>Oh No!</v>
      </c>
    </row>
    <row r="40" spans="1:7" x14ac:dyDescent="0.2">
      <c r="A40">
        <v>39</v>
      </c>
      <c r="B40" s="9" t="s">
        <v>1715</v>
      </c>
      <c r="C40">
        <f>COUNTIF(Database!W:W,CONCATENATE("wc ",B40))</f>
        <v>0</v>
      </c>
      <c r="D40">
        <f t="shared" si="4"/>
        <v>138</v>
      </c>
      <c r="E40">
        <f t="shared" si="3"/>
        <v>25.891181988742961</v>
      </c>
      <c r="F40">
        <f t="shared" si="0"/>
        <v>393</v>
      </c>
      <c r="G40" t="str">
        <f t="shared" si="1"/>
        <v>Oh No!</v>
      </c>
    </row>
    <row r="41" spans="1:7" x14ac:dyDescent="0.2">
      <c r="A41">
        <v>40</v>
      </c>
      <c r="B41" s="9" t="s">
        <v>1716</v>
      </c>
      <c r="C41">
        <f>COUNTIF(Database!W:W,CONCATENATE("wc ",B41))</f>
        <v>0</v>
      </c>
      <c r="D41">
        <f t="shared" si="4"/>
        <v>138</v>
      </c>
      <c r="E41">
        <f t="shared" si="3"/>
        <v>25.891181988742961</v>
      </c>
      <c r="F41">
        <f t="shared" si="0"/>
        <v>403</v>
      </c>
      <c r="G41" t="str">
        <f t="shared" si="1"/>
        <v>Oh No!</v>
      </c>
    </row>
    <row r="42" spans="1:7" x14ac:dyDescent="0.2">
      <c r="A42">
        <v>41</v>
      </c>
      <c r="B42" s="9" t="s">
        <v>1717</v>
      </c>
      <c r="C42">
        <f>COUNTIF(Database!W:W,CONCATENATE("wc ",B42))</f>
        <v>0</v>
      </c>
      <c r="D42">
        <f t="shared" si="4"/>
        <v>138</v>
      </c>
      <c r="E42">
        <f t="shared" si="3"/>
        <v>25.891181988742961</v>
      </c>
      <c r="F42">
        <f t="shared" si="0"/>
        <v>413</v>
      </c>
      <c r="G42" t="str">
        <f t="shared" si="1"/>
        <v>Oh No!</v>
      </c>
    </row>
    <row r="43" spans="1:7" x14ac:dyDescent="0.2">
      <c r="A43">
        <v>42</v>
      </c>
      <c r="B43" s="9" t="s">
        <v>1718</v>
      </c>
      <c r="C43">
        <f>COUNTIF(Database!W:W,CONCATENATE("wc ",B43))</f>
        <v>0</v>
      </c>
      <c r="D43">
        <f t="shared" si="4"/>
        <v>138</v>
      </c>
      <c r="E43">
        <f t="shared" si="3"/>
        <v>25.891181988742961</v>
      </c>
      <c r="F43">
        <f t="shared" si="0"/>
        <v>423</v>
      </c>
      <c r="G43" t="str">
        <f t="shared" si="1"/>
        <v>Oh No!</v>
      </c>
    </row>
    <row r="44" spans="1:7" x14ac:dyDescent="0.2">
      <c r="A44">
        <v>43</v>
      </c>
      <c r="B44" s="9" t="s">
        <v>1719</v>
      </c>
      <c r="C44">
        <f>COUNTIF(Database!W:W,CONCATENATE("wc ",B44))</f>
        <v>0</v>
      </c>
      <c r="D44">
        <f t="shared" si="4"/>
        <v>138</v>
      </c>
      <c r="E44">
        <f t="shared" si="3"/>
        <v>25.891181988742961</v>
      </c>
      <c r="F44">
        <f t="shared" si="0"/>
        <v>433</v>
      </c>
      <c r="G44" t="str">
        <f t="shared" si="1"/>
        <v>Oh No!</v>
      </c>
    </row>
    <row r="45" spans="1:7" x14ac:dyDescent="0.2">
      <c r="A45">
        <v>44</v>
      </c>
      <c r="B45" s="9" t="s">
        <v>1720</v>
      </c>
      <c r="C45">
        <f>COUNTIF(Database!W:W,CONCATENATE("wc ",B45))</f>
        <v>0</v>
      </c>
      <c r="D45">
        <f t="shared" si="4"/>
        <v>138</v>
      </c>
      <c r="E45">
        <f t="shared" si="3"/>
        <v>25.891181988742961</v>
      </c>
      <c r="F45">
        <f t="shared" si="0"/>
        <v>443</v>
      </c>
      <c r="G45" t="str">
        <f t="shared" si="1"/>
        <v>Oh No!</v>
      </c>
    </row>
    <row r="46" spans="1:7" x14ac:dyDescent="0.2">
      <c r="A46">
        <v>45</v>
      </c>
      <c r="B46" s="9" t="s">
        <v>1721</v>
      </c>
      <c r="C46">
        <f>COUNTIF(Database!W:W,CONCATENATE("wc ",B46))</f>
        <v>0</v>
      </c>
      <c r="D46">
        <f t="shared" si="4"/>
        <v>138</v>
      </c>
      <c r="E46">
        <f t="shared" si="3"/>
        <v>25.891181988742961</v>
      </c>
      <c r="F46">
        <f t="shared" si="0"/>
        <v>453</v>
      </c>
      <c r="G46" t="str">
        <f t="shared" si="1"/>
        <v>Oh No!</v>
      </c>
    </row>
    <row r="47" spans="1:7" x14ac:dyDescent="0.2">
      <c r="A47">
        <v>46</v>
      </c>
      <c r="B47" s="9" t="s">
        <v>1722</v>
      </c>
      <c r="C47">
        <f>COUNTIF(Database!W:W,CONCATENATE("wc ",B47))</f>
        <v>0</v>
      </c>
      <c r="D47">
        <f t="shared" si="4"/>
        <v>138</v>
      </c>
      <c r="E47">
        <f t="shared" si="3"/>
        <v>25.891181988742961</v>
      </c>
      <c r="F47">
        <f t="shared" si="0"/>
        <v>463</v>
      </c>
      <c r="G47" t="str">
        <f t="shared" si="1"/>
        <v>Oh No!</v>
      </c>
    </row>
    <row r="48" spans="1:7" x14ac:dyDescent="0.2">
      <c r="A48">
        <v>47</v>
      </c>
      <c r="B48" s="9" t="s">
        <v>1723</v>
      </c>
      <c r="C48">
        <f>COUNTIF(Database!W:W,CONCATENATE("wc ",B48))</f>
        <v>0</v>
      </c>
      <c r="D48">
        <f t="shared" si="4"/>
        <v>138</v>
      </c>
      <c r="E48">
        <f t="shared" si="3"/>
        <v>25.891181988742961</v>
      </c>
      <c r="F48">
        <f t="shared" si="0"/>
        <v>473</v>
      </c>
      <c r="G48" t="str">
        <f t="shared" si="1"/>
        <v>Oh No!</v>
      </c>
    </row>
    <row r="49" spans="1:7" x14ac:dyDescent="0.2">
      <c r="A49">
        <v>48</v>
      </c>
      <c r="B49" s="9" t="s">
        <v>1724</v>
      </c>
      <c r="C49">
        <f>COUNTIF(Database!W:W,CONCATENATE("wc ",B49))</f>
        <v>0</v>
      </c>
      <c r="D49">
        <f t="shared" si="4"/>
        <v>138</v>
      </c>
      <c r="E49">
        <f t="shared" si="3"/>
        <v>25.891181988742961</v>
      </c>
      <c r="F49">
        <f t="shared" si="0"/>
        <v>483</v>
      </c>
      <c r="G49" t="str">
        <f t="shared" si="1"/>
        <v>Oh No!</v>
      </c>
    </row>
    <row r="50" spans="1:7" x14ac:dyDescent="0.2">
      <c r="A50">
        <v>49</v>
      </c>
      <c r="B50" s="9" t="s">
        <v>1725</v>
      </c>
      <c r="C50">
        <f>COUNTIF(Database!W:W,CONCATENATE("wc ",B50))</f>
        <v>0</v>
      </c>
      <c r="D50">
        <f t="shared" si="4"/>
        <v>138</v>
      </c>
      <c r="E50">
        <f t="shared" si="3"/>
        <v>25.891181988742961</v>
      </c>
      <c r="F50">
        <f t="shared" si="0"/>
        <v>493</v>
      </c>
      <c r="G50" t="str">
        <f t="shared" si="1"/>
        <v>Oh No!</v>
      </c>
    </row>
    <row r="51" spans="1:7" x14ac:dyDescent="0.2">
      <c r="A51">
        <v>50</v>
      </c>
      <c r="B51" s="9" t="s">
        <v>1726</v>
      </c>
      <c r="C51">
        <f>COUNTIF(Database!W:W,CONCATENATE("wc ",B51))</f>
        <v>0</v>
      </c>
      <c r="D51">
        <f t="shared" si="4"/>
        <v>138</v>
      </c>
      <c r="E51">
        <f t="shared" si="3"/>
        <v>25.891181988742961</v>
      </c>
      <c r="F51">
        <f t="shared" si="0"/>
        <v>503</v>
      </c>
      <c r="G51" t="str">
        <f t="shared" si="1"/>
        <v>Oh No!</v>
      </c>
    </row>
    <row r="52" spans="1:7" x14ac:dyDescent="0.2">
      <c r="A52">
        <v>51</v>
      </c>
      <c r="B52" s="9" t="s">
        <v>1727</v>
      </c>
      <c r="C52">
        <f>COUNTIF(Database!W:W,CONCATENATE("wc ",B52))</f>
        <v>0</v>
      </c>
      <c r="D52">
        <f t="shared" si="4"/>
        <v>138</v>
      </c>
      <c r="E52">
        <f t="shared" si="3"/>
        <v>25.891181988742961</v>
      </c>
      <c r="F52">
        <f t="shared" si="0"/>
        <v>513</v>
      </c>
      <c r="G52" t="str">
        <f t="shared" si="1"/>
        <v>Oh No!</v>
      </c>
    </row>
    <row r="53" spans="1:7" x14ac:dyDescent="0.2">
      <c r="A53">
        <v>52</v>
      </c>
      <c r="B53" s="9" t="s">
        <v>1728</v>
      </c>
      <c r="C53">
        <f>COUNTIF(Database!W:W,CONCATENATE("wc ",B53))</f>
        <v>8</v>
      </c>
      <c r="D53">
        <f t="shared" si="4"/>
        <v>146</v>
      </c>
      <c r="E53">
        <f t="shared" si="3"/>
        <v>27.392120075046904</v>
      </c>
      <c r="F53">
        <f t="shared" si="0"/>
        <v>523</v>
      </c>
      <c r="G53" t="str">
        <f t="shared" si="1"/>
        <v>Oh No!</v>
      </c>
    </row>
    <row r="54" spans="1:7" x14ac:dyDescent="0.2">
      <c r="A54">
        <v>53</v>
      </c>
      <c r="B54" s="9" t="s">
        <v>1729</v>
      </c>
      <c r="C54">
        <f>COUNTIF(Database!W:W,CONCATENATE("wc ",B54))</f>
        <v>6</v>
      </c>
      <c r="D54">
        <f t="shared" si="4"/>
        <v>152</v>
      </c>
      <c r="E54">
        <f t="shared" si="3"/>
        <v>28.517823639774857</v>
      </c>
      <c r="F54">
        <v>539</v>
      </c>
      <c r="G54" t="str">
        <f t="shared" si="1"/>
        <v>Oh No!</v>
      </c>
    </row>
    <row r="55" spans="1:7" x14ac:dyDescent="0.2">
      <c r="A55">
        <v>54</v>
      </c>
      <c r="B55" s="9" t="s">
        <v>1961</v>
      </c>
      <c r="C55">
        <f>COUNTIF(Database!W:W,CONCATENATE("wc ",B55))</f>
        <v>15</v>
      </c>
      <c r="D55">
        <f t="shared" ref="D55:D65" si="5">D54+C55</f>
        <v>167</v>
      </c>
      <c r="E55">
        <f t="shared" ref="E55:E65" si="6">D55/533*100</f>
        <v>31.332082551594748</v>
      </c>
      <c r="F55">
        <v>539</v>
      </c>
      <c r="G55" t="str">
        <f t="shared" ref="G55:G65" si="7">IF(D55&gt;=F55,"Yay!","Oh No!")</f>
        <v>Oh No!</v>
      </c>
    </row>
    <row r="56" spans="1:7" x14ac:dyDescent="0.2">
      <c r="A56">
        <v>55</v>
      </c>
      <c r="B56" s="9" t="s">
        <v>1962</v>
      </c>
      <c r="C56">
        <f>COUNTIF(Database!W:W,CONCATENATE("wc ",B56))</f>
        <v>15</v>
      </c>
      <c r="D56">
        <f t="shared" si="5"/>
        <v>182</v>
      </c>
      <c r="E56">
        <f t="shared" si="6"/>
        <v>34.146341463414636</v>
      </c>
      <c r="F56">
        <v>541</v>
      </c>
      <c r="G56" t="str">
        <f t="shared" si="7"/>
        <v>Oh No!</v>
      </c>
    </row>
    <row r="57" spans="1:7" x14ac:dyDescent="0.2">
      <c r="A57">
        <v>56</v>
      </c>
      <c r="B57" s="9" t="s">
        <v>1963</v>
      </c>
      <c r="C57">
        <f>COUNTIF(Database!W:W,CONCATENATE("wc ",B57))</f>
        <v>0</v>
      </c>
      <c r="D57">
        <f t="shared" si="5"/>
        <v>182</v>
      </c>
      <c r="E57">
        <f t="shared" si="6"/>
        <v>34.146341463414636</v>
      </c>
      <c r="F57">
        <v>539</v>
      </c>
      <c r="G57" t="str">
        <f t="shared" si="7"/>
        <v>Oh No!</v>
      </c>
    </row>
    <row r="58" spans="1:7" x14ac:dyDescent="0.2">
      <c r="A58">
        <v>57</v>
      </c>
      <c r="B58" s="9" t="s">
        <v>1964</v>
      </c>
      <c r="C58">
        <f>COUNTIF(Database!W:W,CONCATENATE("wc ",B58))</f>
        <v>30</v>
      </c>
      <c r="D58">
        <f t="shared" si="5"/>
        <v>212</v>
      </c>
      <c r="E58">
        <f t="shared" si="6"/>
        <v>39.774859287054412</v>
      </c>
      <c r="F58">
        <v>539</v>
      </c>
      <c r="G58" t="str">
        <f t="shared" si="7"/>
        <v>Oh No!</v>
      </c>
    </row>
    <row r="59" spans="1:7" x14ac:dyDescent="0.2">
      <c r="A59">
        <v>58</v>
      </c>
      <c r="B59" s="9" t="s">
        <v>1965</v>
      </c>
      <c r="C59">
        <f>COUNTIF(Database!W:W,CONCATENATE("wc ",B59))</f>
        <v>17</v>
      </c>
      <c r="D59">
        <f t="shared" si="5"/>
        <v>229</v>
      </c>
      <c r="E59">
        <f t="shared" si="6"/>
        <v>42.964352720450286</v>
      </c>
      <c r="F59">
        <v>544</v>
      </c>
      <c r="G59" t="str">
        <f t="shared" si="7"/>
        <v>Oh No!</v>
      </c>
    </row>
    <row r="60" spans="1:7" x14ac:dyDescent="0.2">
      <c r="A60">
        <v>59</v>
      </c>
      <c r="B60" s="9" t="s">
        <v>1966</v>
      </c>
      <c r="C60">
        <f>COUNTIF(Database!W:W,CONCATENATE("wc ",B60))</f>
        <v>14</v>
      </c>
      <c r="D60">
        <f t="shared" si="5"/>
        <v>243</v>
      </c>
      <c r="E60">
        <f t="shared" si="6"/>
        <v>45.590994371482175</v>
      </c>
      <c r="F60">
        <v>544</v>
      </c>
      <c r="G60" t="str">
        <f t="shared" si="7"/>
        <v>Oh No!</v>
      </c>
    </row>
    <row r="61" spans="1:7" x14ac:dyDescent="0.2">
      <c r="A61">
        <v>60</v>
      </c>
      <c r="B61" s="9" t="s">
        <v>1967</v>
      </c>
      <c r="C61">
        <f>COUNTIF(Database!W:W,CONCATENATE("wc ",B61))</f>
        <v>0</v>
      </c>
      <c r="D61">
        <f t="shared" si="5"/>
        <v>243</v>
      </c>
      <c r="E61">
        <f t="shared" si="6"/>
        <v>45.590994371482175</v>
      </c>
      <c r="F61">
        <v>544</v>
      </c>
      <c r="G61" t="str">
        <f t="shared" si="7"/>
        <v>Oh No!</v>
      </c>
    </row>
    <row r="62" spans="1:7" x14ac:dyDescent="0.2">
      <c r="A62">
        <v>61</v>
      </c>
      <c r="B62" s="9" t="s">
        <v>1968</v>
      </c>
      <c r="C62">
        <f>COUNTIF(Database!W:W,CONCATENATE("wc ",B62))</f>
        <v>0</v>
      </c>
      <c r="D62">
        <f t="shared" si="5"/>
        <v>243</v>
      </c>
      <c r="E62">
        <f t="shared" si="6"/>
        <v>45.590994371482175</v>
      </c>
      <c r="F62">
        <v>544</v>
      </c>
      <c r="G62" t="str">
        <f t="shared" si="7"/>
        <v>Oh No!</v>
      </c>
    </row>
    <row r="63" spans="1:7" x14ac:dyDescent="0.2">
      <c r="A63">
        <v>62</v>
      </c>
      <c r="B63" s="9" t="s">
        <v>1969</v>
      </c>
      <c r="C63">
        <f>COUNTIF(Database!W:W,CONCATENATE("wc ",B63))</f>
        <v>0</v>
      </c>
      <c r="D63">
        <f t="shared" si="5"/>
        <v>243</v>
      </c>
      <c r="E63">
        <f t="shared" si="6"/>
        <v>45.590994371482175</v>
      </c>
      <c r="F63">
        <v>544</v>
      </c>
      <c r="G63" t="str">
        <f t="shared" si="7"/>
        <v>Oh No!</v>
      </c>
    </row>
    <row r="64" spans="1:7" x14ac:dyDescent="0.2">
      <c r="A64">
        <v>63</v>
      </c>
      <c r="B64" s="9" t="s">
        <v>1970</v>
      </c>
      <c r="C64">
        <f>COUNTIF(Database!W:W,CONCATENATE("wc ",B64))</f>
        <v>1</v>
      </c>
      <c r="D64">
        <f t="shared" si="5"/>
        <v>244</v>
      </c>
      <c r="E64">
        <f t="shared" si="6"/>
        <v>45.778611632270163</v>
      </c>
      <c r="F64">
        <v>544</v>
      </c>
      <c r="G64" t="str">
        <f t="shared" si="7"/>
        <v>Oh No!</v>
      </c>
    </row>
    <row r="65" spans="1:7" x14ac:dyDescent="0.2">
      <c r="A65">
        <v>64</v>
      </c>
      <c r="B65" s="9" t="s">
        <v>1971</v>
      </c>
      <c r="C65">
        <f>COUNTIF(Database!W:W,CONCATENATE("wc ",B65))</f>
        <v>48</v>
      </c>
      <c r="D65">
        <f t="shared" si="5"/>
        <v>292</v>
      </c>
      <c r="E65">
        <f t="shared" si="6"/>
        <v>54.784240150093808</v>
      </c>
      <c r="F65">
        <v>544</v>
      </c>
      <c r="G65" t="str">
        <f t="shared" si="7"/>
        <v>Oh No!</v>
      </c>
    </row>
    <row r="66" spans="1:7" x14ac:dyDescent="0.2">
      <c r="A66">
        <v>65</v>
      </c>
      <c r="B66" s="9" t="s">
        <v>2225</v>
      </c>
      <c r="C66">
        <f>COUNTIF(Database!W:W,CONCATENATE("wc ",B66))</f>
        <v>13</v>
      </c>
      <c r="D66">
        <f>D65+C66</f>
        <v>305</v>
      </c>
      <c r="E66">
        <f>D66/533*100</f>
        <v>57.223264540337716</v>
      </c>
      <c r="F66">
        <v>544</v>
      </c>
      <c r="G66" t="str">
        <f>IF(D66&gt;=F66,"Yay!","Oh No!")</f>
        <v>Oh No!</v>
      </c>
    </row>
    <row r="67" spans="1:7" x14ac:dyDescent="0.2">
      <c r="A67">
        <v>66</v>
      </c>
      <c r="B67" s="9" t="s">
        <v>2227</v>
      </c>
      <c r="C67">
        <f>COUNTIF(Database!W:W,CONCATENATE("wc ",B67))</f>
        <v>23</v>
      </c>
      <c r="D67">
        <f>D66+C67</f>
        <v>328</v>
      </c>
      <c r="E67">
        <f>D67/533*100</f>
        <v>61.53846153846154</v>
      </c>
      <c r="F67">
        <v>544</v>
      </c>
      <c r="G67" t="str">
        <f>IF(D67&gt;=F67,"Yay!","Oh No!")</f>
        <v>Oh No!</v>
      </c>
    </row>
    <row r="68" spans="1:7" x14ac:dyDescent="0.2">
      <c r="A68">
        <v>67</v>
      </c>
      <c r="B68" s="9" t="s">
        <v>2226</v>
      </c>
      <c r="C68">
        <f>COUNTIF(Database!W:W,CONCATENATE("wc ",B68))</f>
        <v>29</v>
      </c>
      <c r="D68">
        <f>D67+C68</f>
        <v>357</v>
      </c>
      <c r="E68">
        <f>D68/533*100</f>
        <v>66.979362101313328</v>
      </c>
      <c r="F68">
        <v>544</v>
      </c>
      <c r="G68" t="str">
        <f>IF(D68&gt;=F68,"Yay!","Oh No!")</f>
        <v>Oh No!</v>
      </c>
    </row>
    <row r="69" spans="1:7" x14ac:dyDescent="0.2">
      <c r="A69">
        <v>68</v>
      </c>
      <c r="B69" s="9" t="s">
        <v>2228</v>
      </c>
      <c r="C69">
        <f>COUNTIF(Database!W:W,CONCATENATE("wc ",B69))</f>
        <v>11</v>
      </c>
      <c r="D69">
        <f>D68+C69</f>
        <v>368</v>
      </c>
      <c r="E69">
        <f>D69/533*100</f>
        <v>69.043151969981238</v>
      </c>
      <c r="F69">
        <v>544</v>
      </c>
      <c r="G69" t="str">
        <f>IF(D69&gt;=F69,"Yay!","Oh No!")</f>
        <v>Oh No!</v>
      </c>
    </row>
    <row r="70" spans="1:7" x14ac:dyDescent="0.2">
      <c r="A70">
        <v>69</v>
      </c>
      <c r="B70" s="11" t="s">
        <v>2365</v>
      </c>
      <c r="C70">
        <f>COUNTIF(Database!W:W,CONCATENATE("wc ",B70))</f>
        <v>27</v>
      </c>
      <c r="D70">
        <f t="shared" ref="D70:D77" si="8">D69+C70</f>
        <v>395</v>
      </c>
      <c r="E70">
        <f t="shared" ref="E70:E77" si="9">D70/533*100</f>
        <v>74.108818011257043</v>
      </c>
      <c r="F70">
        <v>544</v>
      </c>
      <c r="G70" t="str">
        <f t="shared" ref="G70:G82" si="10">IF(D70&gt;=F70,"Yay!","Oh No!")</f>
        <v>Oh No!</v>
      </c>
    </row>
    <row r="71" spans="1:7" x14ac:dyDescent="0.2">
      <c r="A71">
        <v>70</v>
      </c>
      <c r="B71" s="11" t="s">
        <v>2366</v>
      </c>
      <c r="C71">
        <f>COUNTIF(Database!W:W,CONCATENATE("wc ",B71))</f>
        <v>22</v>
      </c>
      <c r="D71">
        <f t="shared" si="8"/>
        <v>417</v>
      </c>
      <c r="E71">
        <f t="shared" si="9"/>
        <v>78.236397748592864</v>
      </c>
      <c r="F71">
        <v>544</v>
      </c>
      <c r="G71" t="str">
        <f t="shared" si="10"/>
        <v>Oh No!</v>
      </c>
    </row>
    <row r="72" spans="1:7" x14ac:dyDescent="0.2">
      <c r="A72">
        <v>71</v>
      </c>
      <c r="B72" s="11" t="s">
        <v>2367</v>
      </c>
      <c r="C72">
        <f>COUNTIF(Database!W:W,CONCATENATE("wc ",B72))</f>
        <v>21</v>
      </c>
      <c r="D72">
        <f t="shared" si="8"/>
        <v>438</v>
      </c>
      <c r="E72">
        <f t="shared" si="9"/>
        <v>82.176360225140712</v>
      </c>
      <c r="F72">
        <v>546</v>
      </c>
      <c r="G72" t="str">
        <f t="shared" si="10"/>
        <v>Oh No!</v>
      </c>
    </row>
    <row r="73" spans="1:7" x14ac:dyDescent="0.2">
      <c r="A73">
        <v>72</v>
      </c>
      <c r="B73" s="11" t="s">
        <v>2638</v>
      </c>
      <c r="C73">
        <f>COUNTIF(Database!W:W,CONCATENATE("wc ",B73))</f>
        <v>23</v>
      </c>
      <c r="D73">
        <f t="shared" si="8"/>
        <v>461</v>
      </c>
      <c r="E73">
        <f t="shared" si="9"/>
        <v>86.491557223264536</v>
      </c>
      <c r="F73">
        <v>546</v>
      </c>
      <c r="G73" t="str">
        <f t="shared" si="10"/>
        <v>Oh No!</v>
      </c>
    </row>
    <row r="74" spans="1:7" x14ac:dyDescent="0.2">
      <c r="A74">
        <v>73</v>
      </c>
      <c r="B74" s="11" t="s">
        <v>2639</v>
      </c>
      <c r="C74">
        <f>COUNTIF(Database!W:W,CONCATENATE("wc ",B74))</f>
        <v>16</v>
      </c>
      <c r="D74">
        <f t="shared" si="8"/>
        <v>477</v>
      </c>
      <c r="E74">
        <f t="shared" si="9"/>
        <v>89.49343339587243</v>
      </c>
      <c r="F74">
        <v>546</v>
      </c>
      <c r="G74" t="str">
        <f t="shared" si="10"/>
        <v>Oh No!</v>
      </c>
    </row>
    <row r="75" spans="1:7" x14ac:dyDescent="0.2">
      <c r="A75">
        <v>74</v>
      </c>
      <c r="B75" s="11" t="s">
        <v>2640</v>
      </c>
      <c r="C75">
        <f>COUNTIF(Database!W:W,CONCATENATE("wc ",B75))</f>
        <v>21</v>
      </c>
      <c r="D75">
        <f t="shared" si="8"/>
        <v>498</v>
      </c>
      <c r="E75">
        <f t="shared" si="9"/>
        <v>93.433395872420263</v>
      </c>
      <c r="F75">
        <v>547</v>
      </c>
      <c r="G75" t="str">
        <f t="shared" si="10"/>
        <v>Oh No!</v>
      </c>
    </row>
    <row r="76" spans="1:7" x14ac:dyDescent="0.2">
      <c r="A76">
        <v>75</v>
      </c>
      <c r="B76" s="11" t="s">
        <v>2641</v>
      </c>
      <c r="C76">
        <f>COUNTIF(Database!W:W,CONCATENATE("wc ",B76))</f>
        <v>8</v>
      </c>
      <c r="D76">
        <f t="shared" si="8"/>
        <v>506</v>
      </c>
      <c r="E76">
        <f t="shared" si="9"/>
        <v>94.93433395872421</v>
      </c>
      <c r="F76">
        <v>547</v>
      </c>
      <c r="G76" t="str">
        <f t="shared" si="10"/>
        <v>Oh No!</v>
      </c>
    </row>
    <row r="77" spans="1:7" x14ac:dyDescent="0.2">
      <c r="A77">
        <v>76</v>
      </c>
      <c r="B77" s="11" t="s">
        <v>2642</v>
      </c>
      <c r="C77">
        <f>COUNTIF(Database!W:W,CONCATENATE("wc ",B77))</f>
        <v>0</v>
      </c>
      <c r="D77">
        <f t="shared" si="8"/>
        <v>506</v>
      </c>
      <c r="E77">
        <f t="shared" si="9"/>
        <v>94.93433395872421</v>
      </c>
      <c r="F77">
        <v>547</v>
      </c>
      <c r="G77" t="str">
        <f t="shared" si="10"/>
        <v>Oh No!</v>
      </c>
    </row>
    <row r="78" spans="1:7" x14ac:dyDescent="0.2">
      <c r="A78">
        <v>77</v>
      </c>
      <c r="B78" s="9" t="s">
        <v>2851</v>
      </c>
      <c r="C78">
        <f>COUNTIF(Database!W:W,CONCATENATE("wc ",B78))</f>
        <v>24</v>
      </c>
      <c r="D78">
        <f t="shared" ref="D78" si="11">D77+C78</f>
        <v>530</v>
      </c>
      <c r="E78">
        <f t="shared" ref="E78" si="12">D78/533*100</f>
        <v>99.437148217636022</v>
      </c>
      <c r="F78">
        <v>548</v>
      </c>
      <c r="G78" t="str">
        <f t="shared" si="10"/>
        <v>Oh No!</v>
      </c>
    </row>
    <row r="79" spans="1:7" x14ac:dyDescent="0.2">
      <c r="A79">
        <v>78</v>
      </c>
      <c r="B79" s="9" t="s">
        <v>2852</v>
      </c>
      <c r="C79">
        <f>COUNTIF(Database!W:W,CONCATENATE("wc ",B79))</f>
        <v>11</v>
      </c>
      <c r="D79">
        <f t="shared" ref="D79:D82" si="13">D78+C79</f>
        <v>541</v>
      </c>
      <c r="E79">
        <f t="shared" ref="E79:E82" si="14">D79/533*100</f>
        <v>101.50093808630393</v>
      </c>
      <c r="F79">
        <v>548</v>
      </c>
      <c r="G79" t="str">
        <f t="shared" si="10"/>
        <v>Oh No!</v>
      </c>
    </row>
    <row r="80" spans="1:7" x14ac:dyDescent="0.2">
      <c r="A80">
        <v>79</v>
      </c>
      <c r="C80">
        <f>COUNTIF(Database!W:W,CONCATENATE("wc ",B80))</f>
        <v>0</v>
      </c>
      <c r="D80">
        <f t="shared" si="13"/>
        <v>541</v>
      </c>
      <c r="E80">
        <f t="shared" si="14"/>
        <v>101.50093808630393</v>
      </c>
      <c r="F80">
        <v>548</v>
      </c>
      <c r="G80" t="str">
        <f t="shared" si="10"/>
        <v>Oh No!</v>
      </c>
    </row>
    <row r="81" spans="1:7" x14ac:dyDescent="0.2">
      <c r="A81">
        <v>80</v>
      </c>
      <c r="C81">
        <f>COUNTIF(Database!W:W,CONCATENATE("wc ",B81))</f>
        <v>0</v>
      </c>
      <c r="D81">
        <f t="shared" si="13"/>
        <v>541</v>
      </c>
      <c r="E81">
        <f t="shared" si="14"/>
        <v>101.50093808630393</v>
      </c>
      <c r="F81">
        <v>548</v>
      </c>
      <c r="G81" t="str">
        <f t="shared" si="10"/>
        <v>Oh No!</v>
      </c>
    </row>
    <row r="82" spans="1:7" x14ac:dyDescent="0.2">
      <c r="A82">
        <v>81</v>
      </c>
      <c r="C82">
        <f>COUNTIF(Database!W:W,CONCATENATE("wc ",B82))</f>
        <v>0</v>
      </c>
      <c r="D82">
        <f t="shared" si="13"/>
        <v>541</v>
      </c>
      <c r="E82">
        <f t="shared" si="14"/>
        <v>101.50093808630393</v>
      </c>
      <c r="F82">
        <v>548</v>
      </c>
      <c r="G82" t="str">
        <f t="shared" si="10"/>
        <v>Oh No!</v>
      </c>
    </row>
    <row r="83" spans="1:7" x14ac:dyDescent="0.2">
      <c r="A83">
        <v>82</v>
      </c>
    </row>
    <row r="84" spans="1:7" x14ac:dyDescent="0.2">
      <c r="A84">
        <v>83</v>
      </c>
    </row>
    <row r="85" spans="1:7" x14ac:dyDescent="0.2">
      <c r="A85">
        <v>84</v>
      </c>
    </row>
    <row r="220" spans="2:4" x14ac:dyDescent="0.2">
      <c r="B220" s="4"/>
      <c r="C220" s="4"/>
      <c r="D220" s="4"/>
    </row>
    <row r="224" spans="2:4" x14ac:dyDescent="0.2">
      <c r="B224" s="4"/>
    </row>
    <row r="225" spans="2:2" x14ac:dyDescent="0.2">
      <c r="B225" s="4"/>
    </row>
  </sheetData>
  <phoneticPr fontId="25" type="noConversion"/>
  <conditionalFormatting sqref="G2:G82">
    <cfRule type="cellIs" dxfId="75" priority="2" operator="equal">
      <formula>"Oh No!"</formula>
    </cfRule>
    <cfRule type="cellIs" dxfId="74" priority="3" operator="equal">
      <formula>"Yay!"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Database</vt:lpstr>
      <vt:lpstr>Sheet1</vt:lpstr>
      <vt:lpstr>Progress</vt:lpstr>
      <vt:lpstr>ProgressChart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 Timetable Project</dc:creator>
  <cp:lastModifiedBy>Louise Price</cp:lastModifiedBy>
  <cp:lastPrinted>2023-03-02T15:14:43Z</cp:lastPrinted>
  <dcterms:created xsi:type="dcterms:W3CDTF">2019-09-30T12:24:10Z</dcterms:created>
  <dcterms:modified xsi:type="dcterms:W3CDTF">2026-10-23T10:37:35Z</dcterms:modified>
</cp:coreProperties>
</file>